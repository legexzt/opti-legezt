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00" windowHeight="7425" firstSheet="1" activeTab="5"/>
  </bookViews>
  <sheets>
    <sheet name="TEMP" sheetId="7" state="hidden" r:id="rId1"/>
    <sheet name="PP" sheetId="6" r:id="rId2"/>
    <sheet name="DM" sheetId="5" r:id="rId3"/>
    <sheet name="DS" sheetId="4" r:id="rId4"/>
    <sheet name="OR" sheetId="3" r:id="rId5"/>
    <sheet name="DECO" sheetId="2" r:id="rId6"/>
  </sheets>
  <definedNames>
    <definedName name="_xlnm.Print_Titles" localSheetId="0">TEMP!$7:$8</definedName>
  </definedNames>
  <calcPr calcId="19102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6" i="3"/>
  <c r="M56"/>
  <c r="M57"/>
  <c r="M58"/>
  <c r="M59"/>
  <c r="M60"/>
  <c r="M61"/>
  <c r="M62"/>
  <c r="M64"/>
  <c r="M65"/>
  <c r="M66"/>
  <c r="M68"/>
  <c r="M70"/>
  <c r="M71"/>
  <c r="M72"/>
  <c r="M45"/>
  <c r="M46"/>
  <c r="M47"/>
  <c r="M48"/>
  <c r="M49"/>
  <c r="M50"/>
  <c r="M51"/>
  <c r="M52"/>
  <c r="M53"/>
  <c r="M54"/>
  <c r="M55"/>
  <c r="M36"/>
  <c r="N36" s="1"/>
  <c r="M37"/>
  <c r="N37" s="1"/>
  <c r="M38"/>
  <c r="N38" s="1"/>
  <c r="M39"/>
  <c r="M40"/>
  <c r="M41"/>
  <c r="M42"/>
  <c r="M43"/>
  <c r="M44"/>
  <c r="M26"/>
  <c r="M27"/>
  <c r="N27" s="1"/>
  <c r="M28"/>
  <c r="N28" s="1"/>
  <c r="M29"/>
  <c r="N29" s="1"/>
  <c r="M30"/>
  <c r="N30" s="1"/>
  <c r="M31"/>
  <c r="M32"/>
  <c r="N32" s="1"/>
  <c r="N33"/>
  <c r="M34"/>
  <c r="N34" s="1"/>
  <c r="M35"/>
  <c r="N35" s="1"/>
  <c r="M10"/>
  <c r="N10" s="1"/>
  <c r="M11"/>
  <c r="N11" s="1"/>
  <c r="M12"/>
  <c r="N12" s="1"/>
  <c r="M13"/>
  <c r="M14"/>
  <c r="N14" s="1"/>
  <c r="M15"/>
  <c r="N15" s="1"/>
  <c r="M16"/>
  <c r="N16" s="1"/>
  <c r="M17"/>
  <c r="N18"/>
  <c r="M19"/>
  <c r="M20"/>
  <c r="N20" s="1"/>
  <c r="M21"/>
  <c r="N21" s="1"/>
  <c r="M22"/>
  <c r="N22" s="1"/>
  <c r="M23"/>
  <c r="N23" s="1"/>
  <c r="M24"/>
  <c r="N24" s="1"/>
  <c r="M25"/>
  <c r="N25" s="1"/>
  <c r="M10" i="4"/>
  <c r="N10" s="1"/>
  <c r="M11"/>
  <c r="M12"/>
  <c r="M13"/>
  <c r="N13" s="1"/>
  <c r="M14"/>
  <c r="M15"/>
  <c r="M16"/>
  <c r="N16" s="1"/>
  <c r="M17"/>
  <c r="M18"/>
  <c r="M19"/>
  <c r="N19" s="1"/>
  <c r="M20"/>
  <c r="M21"/>
  <c r="M22"/>
  <c r="N22" s="1"/>
  <c r="M23"/>
  <c r="M24"/>
  <c r="M25"/>
  <c r="N25" s="1"/>
  <c r="M26"/>
  <c r="M27"/>
  <c r="M28"/>
  <c r="N28" s="1"/>
  <c r="M29"/>
  <c r="M30"/>
  <c r="M31"/>
  <c r="N31" s="1"/>
  <c r="M32"/>
  <c r="M33"/>
  <c r="M34"/>
  <c r="N34" s="1"/>
  <c r="M35"/>
  <c r="M36"/>
  <c r="M37"/>
  <c r="N37" s="1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9"/>
  <c r="N9" s="1"/>
  <c r="R59"/>
  <c r="R56"/>
  <c r="S59" i="2"/>
  <c r="S56"/>
  <c r="M10"/>
  <c r="M11"/>
  <c r="N11" s="1"/>
  <c r="M12"/>
  <c r="N12" s="1"/>
  <c r="M13"/>
  <c r="N13" s="1"/>
  <c r="M14"/>
  <c r="M15"/>
  <c r="M16"/>
  <c r="M17"/>
  <c r="M18"/>
  <c r="N18" s="1"/>
  <c r="M19"/>
  <c r="M20"/>
  <c r="M21"/>
  <c r="N21" s="1"/>
  <c r="M22"/>
  <c r="M23"/>
  <c r="N23" s="1"/>
  <c r="M24"/>
  <c r="N24" s="1"/>
  <c r="M25"/>
  <c r="N25" s="1"/>
  <c r="M26"/>
  <c r="N26" s="1"/>
  <c r="M27"/>
  <c r="N27" s="1"/>
  <c r="M28"/>
  <c r="N28" s="1"/>
  <c r="M29"/>
  <c r="M30"/>
  <c r="M31"/>
  <c r="N31" s="1"/>
  <c r="M32"/>
  <c r="N32" s="1"/>
  <c r="M34"/>
  <c r="N34" s="1"/>
  <c r="M35"/>
  <c r="M36"/>
  <c r="M37"/>
  <c r="N37" s="1"/>
  <c r="M38"/>
  <c r="N38" s="1"/>
  <c r="M39"/>
  <c r="M40"/>
  <c r="M41"/>
  <c r="M42"/>
  <c r="M43"/>
  <c r="M44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70"/>
  <c r="M71"/>
  <c r="M72"/>
  <c r="M9"/>
  <c r="R59" i="5"/>
  <c r="M11" i="6"/>
  <c r="M12"/>
  <c r="M13"/>
  <c r="N14"/>
  <c r="M15"/>
  <c r="M16"/>
  <c r="N16" s="1"/>
  <c r="M19"/>
  <c r="M20"/>
  <c r="M21"/>
  <c r="M22"/>
  <c r="N22" s="1"/>
  <c r="M23"/>
  <c r="M24"/>
  <c r="M26"/>
  <c r="M27"/>
  <c r="M28"/>
  <c r="N28" s="1"/>
  <c r="M29"/>
  <c r="M30"/>
  <c r="M31"/>
  <c r="M32"/>
  <c r="M33"/>
  <c r="M34"/>
  <c r="N34" s="1"/>
  <c r="M35"/>
  <c r="M36"/>
  <c r="M37"/>
  <c r="N37" s="1"/>
  <c r="M38"/>
  <c r="M39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4"/>
  <c r="M65"/>
  <c r="M66"/>
  <c r="M67"/>
  <c r="M68"/>
  <c r="M70"/>
  <c r="M71"/>
  <c r="M72"/>
  <c r="M10"/>
  <c r="T61"/>
  <c r="T60"/>
  <c r="T59"/>
  <c r="R62"/>
  <c r="R61"/>
  <c r="R60"/>
  <c r="R59"/>
  <c r="R56"/>
  <c r="M10" i="5"/>
  <c r="M11"/>
  <c r="M12"/>
  <c r="M13"/>
  <c r="M14"/>
  <c r="M15"/>
  <c r="N15" s="1"/>
  <c r="M16"/>
  <c r="M17"/>
  <c r="M18"/>
  <c r="M19"/>
  <c r="M20"/>
  <c r="N20" s="1"/>
  <c r="M21"/>
  <c r="N21" s="1"/>
  <c r="M22"/>
  <c r="N22" s="1"/>
  <c r="M23"/>
  <c r="N23" s="1"/>
  <c r="M24"/>
  <c r="N24" s="1"/>
  <c r="M25"/>
  <c r="N25" s="1"/>
  <c r="M26"/>
  <c r="N26" s="1"/>
  <c r="M27"/>
  <c r="N27" s="1"/>
  <c r="M28"/>
  <c r="M29"/>
  <c r="N29" s="1"/>
  <c r="M30"/>
  <c r="M31"/>
  <c r="N31" s="1"/>
  <c r="M32"/>
  <c r="N32" s="1"/>
  <c r="M33"/>
  <c r="N33" s="1"/>
  <c r="M34"/>
  <c r="N34" s="1"/>
  <c r="M35"/>
  <c r="M36"/>
  <c r="M37"/>
  <c r="M38"/>
  <c r="N38" s="1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4"/>
  <c r="M65"/>
  <c r="M66"/>
  <c r="M67"/>
  <c r="M68"/>
  <c r="M70"/>
  <c r="M71"/>
  <c r="M72"/>
  <c r="M9"/>
  <c r="T85" i="7"/>
  <c r="S85"/>
  <c r="R85"/>
  <c r="T84"/>
  <c r="S84"/>
  <c r="R84"/>
  <c r="T83"/>
  <c r="S83"/>
  <c r="R83"/>
  <c r="T82"/>
  <c r="S82"/>
  <c r="R82"/>
  <c r="T81"/>
  <c r="S81"/>
  <c r="R81"/>
  <c r="P81" s="1"/>
  <c r="T80"/>
  <c r="S80"/>
  <c r="R80"/>
  <c r="T79"/>
  <c r="S79"/>
  <c r="R79"/>
  <c r="T78"/>
  <c r="S78"/>
  <c r="R78"/>
  <c r="T77"/>
  <c r="S77"/>
  <c r="R77"/>
  <c r="P77" s="1"/>
  <c r="T76"/>
  <c r="S76"/>
  <c r="R76"/>
  <c r="T75"/>
  <c r="S75"/>
  <c r="R75"/>
  <c r="T74"/>
  <c r="S74"/>
  <c r="R74"/>
  <c r="T73"/>
  <c r="S73"/>
  <c r="R73"/>
  <c r="T58"/>
  <c r="S58"/>
  <c r="R58"/>
  <c r="T57"/>
  <c r="S57"/>
  <c r="R57"/>
  <c r="T55"/>
  <c r="S55"/>
  <c r="R55"/>
  <c r="T54"/>
  <c r="S54"/>
  <c r="R54"/>
  <c r="P54" s="1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N38"/>
  <c r="T37"/>
  <c r="S37"/>
  <c r="R37"/>
  <c r="N37"/>
  <c r="T36"/>
  <c r="S36"/>
  <c r="R36"/>
  <c r="N36"/>
  <c r="T35"/>
  <c r="S35"/>
  <c r="R35"/>
  <c r="N35"/>
  <c r="T34"/>
  <c r="S34"/>
  <c r="R34"/>
  <c r="N34"/>
  <c r="T33"/>
  <c r="S33"/>
  <c r="R33"/>
  <c r="N33"/>
  <c r="T32"/>
  <c r="S32"/>
  <c r="R32"/>
  <c r="N32"/>
  <c r="T31"/>
  <c r="S31"/>
  <c r="R31"/>
  <c r="N31"/>
  <c r="T30"/>
  <c r="S30"/>
  <c r="R30"/>
  <c r="N30"/>
  <c r="T29"/>
  <c r="S29"/>
  <c r="R29"/>
  <c r="N29"/>
  <c r="T28"/>
  <c r="S28"/>
  <c r="R28"/>
  <c r="N28"/>
  <c r="T27"/>
  <c r="S27"/>
  <c r="R27"/>
  <c r="N27"/>
  <c r="T26"/>
  <c r="S26"/>
  <c r="R26"/>
  <c r="N26"/>
  <c r="T25"/>
  <c r="S25"/>
  <c r="R25"/>
  <c r="N25"/>
  <c r="T24"/>
  <c r="S24"/>
  <c r="R24"/>
  <c r="N24"/>
  <c r="T23"/>
  <c r="S23"/>
  <c r="R23"/>
  <c r="N23"/>
  <c r="T22"/>
  <c r="S22"/>
  <c r="R22"/>
  <c r="N22"/>
  <c r="T21"/>
  <c r="S21"/>
  <c r="R21"/>
  <c r="N21"/>
  <c r="T20"/>
  <c r="S20"/>
  <c r="R20"/>
  <c r="N20"/>
  <c r="T19"/>
  <c r="S19"/>
  <c r="R19"/>
  <c r="P19" s="1"/>
  <c r="N19"/>
  <c r="T18"/>
  <c r="S18"/>
  <c r="R18"/>
  <c r="N18"/>
  <c r="T17"/>
  <c r="S17"/>
  <c r="R17"/>
  <c r="N17"/>
  <c r="T16"/>
  <c r="S16"/>
  <c r="R16"/>
  <c r="P16" s="1"/>
  <c r="N16"/>
  <c r="T15"/>
  <c r="S15"/>
  <c r="R15"/>
  <c r="N15"/>
  <c r="T14"/>
  <c r="S14"/>
  <c r="R14"/>
  <c r="P14" s="1"/>
  <c r="N14"/>
  <c r="T13"/>
  <c r="S13"/>
  <c r="R13"/>
  <c r="N13"/>
  <c r="T12"/>
  <c r="S12"/>
  <c r="R12"/>
  <c r="N12"/>
  <c r="T11"/>
  <c r="S11"/>
  <c r="R11"/>
  <c r="N11"/>
  <c r="T10"/>
  <c r="S10"/>
  <c r="R10"/>
  <c r="N10"/>
  <c r="T9"/>
  <c r="S9"/>
  <c r="R9"/>
  <c r="N9"/>
  <c r="T85" i="6"/>
  <c r="S85"/>
  <c r="R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58"/>
  <c r="S58"/>
  <c r="R58"/>
  <c r="T57"/>
  <c r="S57"/>
  <c r="R57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N38"/>
  <c r="T37"/>
  <c r="S37"/>
  <c r="R37"/>
  <c r="T36"/>
  <c r="S36"/>
  <c r="R36"/>
  <c r="N36"/>
  <c r="T35"/>
  <c r="S35"/>
  <c r="R35"/>
  <c r="N35"/>
  <c r="T34"/>
  <c r="S34"/>
  <c r="R34"/>
  <c r="T33"/>
  <c r="S33"/>
  <c r="R33"/>
  <c r="N33"/>
  <c r="T32"/>
  <c r="S32"/>
  <c r="R32"/>
  <c r="N32"/>
  <c r="T31"/>
  <c r="S31"/>
  <c r="R31"/>
  <c r="N31"/>
  <c r="T30"/>
  <c r="S30"/>
  <c r="R30"/>
  <c r="N30"/>
  <c r="T29"/>
  <c r="S29"/>
  <c r="R29"/>
  <c r="N29"/>
  <c r="T28"/>
  <c r="S28"/>
  <c r="R28"/>
  <c r="T27"/>
  <c r="S27"/>
  <c r="R27"/>
  <c r="N27"/>
  <c r="T26"/>
  <c r="S26"/>
  <c r="R26"/>
  <c r="N26"/>
  <c r="T25"/>
  <c r="S25"/>
  <c r="R25"/>
  <c r="N25"/>
  <c r="T24"/>
  <c r="S24"/>
  <c r="R24"/>
  <c r="N24"/>
  <c r="T23"/>
  <c r="S23"/>
  <c r="R23"/>
  <c r="N23"/>
  <c r="T22"/>
  <c r="S22"/>
  <c r="R22"/>
  <c r="T21"/>
  <c r="S21"/>
  <c r="R21"/>
  <c r="N21"/>
  <c r="T20"/>
  <c r="S20"/>
  <c r="R20"/>
  <c r="N20"/>
  <c r="T19"/>
  <c r="S19"/>
  <c r="R19"/>
  <c r="N19"/>
  <c r="T18"/>
  <c r="S18"/>
  <c r="R18"/>
  <c r="N18"/>
  <c r="T17"/>
  <c r="S17"/>
  <c r="R17"/>
  <c r="N17"/>
  <c r="T16"/>
  <c r="S16"/>
  <c r="R16"/>
  <c r="T15"/>
  <c r="S15"/>
  <c r="R15"/>
  <c r="N15"/>
  <c r="T14"/>
  <c r="S14"/>
  <c r="R14"/>
  <c r="T13"/>
  <c r="S13"/>
  <c r="R13"/>
  <c r="N13"/>
  <c r="T12"/>
  <c r="S12"/>
  <c r="R12"/>
  <c r="N12"/>
  <c r="T11"/>
  <c r="S11"/>
  <c r="R11"/>
  <c r="N11"/>
  <c r="T10"/>
  <c r="S10"/>
  <c r="R10"/>
  <c r="N10"/>
  <c r="T9"/>
  <c r="S9"/>
  <c r="R9"/>
  <c r="N9"/>
  <c r="T85" i="5"/>
  <c r="S85"/>
  <c r="R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58"/>
  <c r="S58"/>
  <c r="R58"/>
  <c r="T57"/>
  <c r="S57"/>
  <c r="R57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T37"/>
  <c r="S37"/>
  <c r="R37"/>
  <c r="N37"/>
  <c r="T36"/>
  <c r="S36"/>
  <c r="R36"/>
  <c r="N36"/>
  <c r="T35"/>
  <c r="S35"/>
  <c r="R35"/>
  <c r="N35"/>
  <c r="T34"/>
  <c r="S34"/>
  <c r="R34"/>
  <c r="T33"/>
  <c r="S33"/>
  <c r="R33"/>
  <c r="T32"/>
  <c r="S32"/>
  <c r="R32"/>
  <c r="T31"/>
  <c r="S31"/>
  <c r="R31"/>
  <c r="T30"/>
  <c r="S30"/>
  <c r="R30"/>
  <c r="N30"/>
  <c r="T29"/>
  <c r="S29"/>
  <c r="R29"/>
  <c r="T28"/>
  <c r="S28"/>
  <c r="R28"/>
  <c r="N28"/>
  <c r="T27"/>
  <c r="S27"/>
  <c r="R27"/>
  <c r="T26"/>
  <c r="S26"/>
  <c r="R26"/>
  <c r="T25"/>
  <c r="S25"/>
  <c r="R25"/>
  <c r="T24"/>
  <c r="S24"/>
  <c r="R24"/>
  <c r="T23"/>
  <c r="S23"/>
  <c r="R23"/>
  <c r="T22"/>
  <c r="S22"/>
  <c r="R22"/>
  <c r="T21"/>
  <c r="S21"/>
  <c r="R21"/>
  <c r="T20"/>
  <c r="S20"/>
  <c r="R20"/>
  <c r="T19"/>
  <c r="S19"/>
  <c r="R19"/>
  <c r="N19"/>
  <c r="T18"/>
  <c r="S18"/>
  <c r="R18"/>
  <c r="N18"/>
  <c r="T17"/>
  <c r="S17"/>
  <c r="R17"/>
  <c r="N17"/>
  <c r="T16"/>
  <c r="S16"/>
  <c r="R16"/>
  <c r="N16"/>
  <c r="T15"/>
  <c r="S15"/>
  <c r="R15"/>
  <c r="T14"/>
  <c r="S14"/>
  <c r="R14"/>
  <c r="N14"/>
  <c r="T13"/>
  <c r="S13"/>
  <c r="R13"/>
  <c r="N13"/>
  <c r="T12"/>
  <c r="S12"/>
  <c r="R12"/>
  <c r="N12"/>
  <c r="T11"/>
  <c r="S11"/>
  <c r="R11"/>
  <c r="N11"/>
  <c r="T10"/>
  <c r="S10"/>
  <c r="R10"/>
  <c r="N10"/>
  <c r="T9"/>
  <c r="S9"/>
  <c r="R9"/>
  <c r="N9"/>
  <c r="T85" i="4"/>
  <c r="S85"/>
  <c r="R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58"/>
  <c r="S58"/>
  <c r="R58"/>
  <c r="T57"/>
  <c r="S57"/>
  <c r="R57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N38"/>
  <c r="T37"/>
  <c r="S37"/>
  <c r="R37"/>
  <c r="T36"/>
  <c r="S36"/>
  <c r="R36"/>
  <c r="N36"/>
  <c r="T35"/>
  <c r="S35"/>
  <c r="R35"/>
  <c r="N35"/>
  <c r="T34"/>
  <c r="S34"/>
  <c r="R34"/>
  <c r="T33"/>
  <c r="S33"/>
  <c r="R33"/>
  <c r="N33"/>
  <c r="T32"/>
  <c r="S32"/>
  <c r="R32"/>
  <c r="N32"/>
  <c r="T31"/>
  <c r="S31"/>
  <c r="R31"/>
  <c r="T30"/>
  <c r="S30"/>
  <c r="R30"/>
  <c r="N30"/>
  <c r="T29"/>
  <c r="S29"/>
  <c r="R29"/>
  <c r="N29"/>
  <c r="T28"/>
  <c r="S28"/>
  <c r="R28"/>
  <c r="T27"/>
  <c r="S27"/>
  <c r="R27"/>
  <c r="N27"/>
  <c r="T26"/>
  <c r="S26"/>
  <c r="R26"/>
  <c r="N26"/>
  <c r="T25"/>
  <c r="S25"/>
  <c r="R25"/>
  <c r="T24"/>
  <c r="S24"/>
  <c r="R24"/>
  <c r="N24"/>
  <c r="T23"/>
  <c r="S23"/>
  <c r="R23"/>
  <c r="N23"/>
  <c r="T22"/>
  <c r="S22"/>
  <c r="R22"/>
  <c r="T21"/>
  <c r="S21"/>
  <c r="R21"/>
  <c r="N21"/>
  <c r="T20"/>
  <c r="S20"/>
  <c r="R20"/>
  <c r="N20"/>
  <c r="T19"/>
  <c r="S19"/>
  <c r="R19"/>
  <c r="T18"/>
  <c r="S18"/>
  <c r="R18"/>
  <c r="N18"/>
  <c r="T17"/>
  <c r="S17"/>
  <c r="R17"/>
  <c r="N17"/>
  <c r="T16"/>
  <c r="S16"/>
  <c r="R16"/>
  <c r="T15"/>
  <c r="S15"/>
  <c r="R15"/>
  <c r="N15"/>
  <c r="T14"/>
  <c r="S14"/>
  <c r="R14"/>
  <c r="N14"/>
  <c r="T13"/>
  <c r="S13"/>
  <c r="R13"/>
  <c r="T12"/>
  <c r="S12"/>
  <c r="R12"/>
  <c r="N12"/>
  <c r="T11"/>
  <c r="S11"/>
  <c r="R11"/>
  <c r="N11"/>
  <c r="T10"/>
  <c r="S10"/>
  <c r="R10"/>
  <c r="T9"/>
  <c r="S9"/>
  <c r="R9"/>
  <c r="T85" i="3"/>
  <c r="S85"/>
  <c r="R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58"/>
  <c r="S58"/>
  <c r="R58"/>
  <c r="T57"/>
  <c r="S57"/>
  <c r="R57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P40" s="1"/>
  <c r="T39"/>
  <c r="S39"/>
  <c r="R39"/>
  <c r="T38"/>
  <c r="S38"/>
  <c r="R38"/>
  <c r="T37"/>
  <c r="S37"/>
  <c r="R37"/>
  <c r="T36"/>
  <c r="S36"/>
  <c r="R36"/>
  <c r="T35"/>
  <c r="S35"/>
  <c r="R35"/>
  <c r="T34"/>
  <c r="S34"/>
  <c r="R34"/>
  <c r="T33"/>
  <c r="S33"/>
  <c r="R33"/>
  <c r="T32"/>
  <c r="S32"/>
  <c r="R32"/>
  <c r="T31"/>
  <c r="S31"/>
  <c r="R31"/>
  <c r="N31"/>
  <c r="T30"/>
  <c r="S30"/>
  <c r="R30"/>
  <c r="T29"/>
  <c r="S29"/>
  <c r="R29"/>
  <c r="T28"/>
  <c r="S28"/>
  <c r="R28"/>
  <c r="T27"/>
  <c r="S27"/>
  <c r="R27"/>
  <c r="T26"/>
  <c r="S26"/>
  <c r="R26"/>
  <c r="N26"/>
  <c r="T25"/>
  <c r="S25"/>
  <c r="R25"/>
  <c r="T24"/>
  <c r="S24"/>
  <c r="R24"/>
  <c r="T23"/>
  <c r="S23"/>
  <c r="R23"/>
  <c r="T22"/>
  <c r="S22"/>
  <c r="R22"/>
  <c r="T21"/>
  <c r="S21"/>
  <c r="R21"/>
  <c r="T20"/>
  <c r="S20"/>
  <c r="R20"/>
  <c r="T19"/>
  <c r="S19"/>
  <c r="R19"/>
  <c r="N19"/>
  <c r="T18"/>
  <c r="S18"/>
  <c r="R18"/>
  <c r="T17"/>
  <c r="S17"/>
  <c r="R17"/>
  <c r="N17"/>
  <c r="T16"/>
  <c r="S16"/>
  <c r="R16"/>
  <c r="T15"/>
  <c r="S15"/>
  <c r="R15"/>
  <c r="T14"/>
  <c r="S14"/>
  <c r="R14"/>
  <c r="T13"/>
  <c r="S13"/>
  <c r="R13"/>
  <c r="N13"/>
  <c r="T12"/>
  <c r="S12"/>
  <c r="R12"/>
  <c r="T11"/>
  <c r="S11"/>
  <c r="R11"/>
  <c r="T10"/>
  <c r="S10"/>
  <c r="R10"/>
  <c r="T9"/>
  <c r="S9"/>
  <c r="R9"/>
  <c r="N9"/>
  <c r="T85" i="2"/>
  <c r="S85"/>
  <c r="R85"/>
  <c r="T84"/>
  <c r="S84"/>
  <c r="R84"/>
  <c r="P84" s="1"/>
  <c r="T83"/>
  <c r="S83"/>
  <c r="R83"/>
  <c r="T82"/>
  <c r="S82"/>
  <c r="P82" s="1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58"/>
  <c r="S58"/>
  <c r="R58"/>
  <c r="T57"/>
  <c r="S57"/>
  <c r="R57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P38" s="1"/>
  <c r="S38"/>
  <c r="R38"/>
  <c r="T37"/>
  <c r="S37"/>
  <c r="R37"/>
  <c r="T36"/>
  <c r="S36"/>
  <c r="R36"/>
  <c r="N36"/>
  <c r="T35"/>
  <c r="S35"/>
  <c r="R35"/>
  <c r="N35"/>
  <c r="T34"/>
  <c r="S34"/>
  <c r="R34"/>
  <c r="T32"/>
  <c r="S32"/>
  <c r="R32"/>
  <c r="T31"/>
  <c r="S31"/>
  <c r="R31"/>
  <c r="T30"/>
  <c r="S30"/>
  <c r="R30"/>
  <c r="N30"/>
  <c r="T29"/>
  <c r="S29"/>
  <c r="R29"/>
  <c r="N29"/>
  <c r="T28"/>
  <c r="S28"/>
  <c r="R28"/>
  <c r="T27"/>
  <c r="S27"/>
  <c r="R27"/>
  <c r="T26"/>
  <c r="S26"/>
  <c r="R26"/>
  <c r="T25"/>
  <c r="S25"/>
  <c r="R25"/>
  <c r="T24"/>
  <c r="S24"/>
  <c r="R24"/>
  <c r="T23"/>
  <c r="S23"/>
  <c r="R23"/>
  <c r="T22"/>
  <c r="S22"/>
  <c r="R22"/>
  <c r="N22"/>
  <c r="T21"/>
  <c r="S21"/>
  <c r="R21"/>
  <c r="T20"/>
  <c r="S20"/>
  <c r="R20"/>
  <c r="N20"/>
  <c r="T19"/>
  <c r="S19"/>
  <c r="R19"/>
  <c r="N19"/>
  <c r="T18"/>
  <c r="S18"/>
  <c r="R18"/>
  <c r="T17"/>
  <c r="S17"/>
  <c r="R17"/>
  <c r="N17"/>
  <c r="T16"/>
  <c r="S16"/>
  <c r="R16"/>
  <c r="N16"/>
  <c r="T15"/>
  <c r="S15"/>
  <c r="R15"/>
  <c r="N15"/>
  <c r="T14"/>
  <c r="S14"/>
  <c r="R14"/>
  <c r="N14"/>
  <c r="T13"/>
  <c r="S13"/>
  <c r="R13"/>
  <c r="T12"/>
  <c r="S12"/>
  <c r="R12"/>
  <c r="T11"/>
  <c r="S11"/>
  <c r="R11"/>
  <c r="T10"/>
  <c r="S10"/>
  <c r="R10"/>
  <c r="N10"/>
  <c r="P22" i="3" l="1"/>
  <c r="P85"/>
  <c r="P78"/>
  <c r="P19"/>
  <c r="P85" i="4"/>
  <c r="P38" i="6"/>
  <c r="P43"/>
  <c r="P34"/>
  <c r="P41"/>
  <c r="P26"/>
  <c r="P19" i="2"/>
  <c r="P53"/>
  <c r="P58" i="3"/>
  <c r="P82" i="4"/>
  <c r="P54"/>
  <c r="P79"/>
  <c r="P84"/>
  <c r="P53"/>
  <c r="P46"/>
  <c r="P51"/>
  <c r="P39"/>
  <c r="P43"/>
  <c r="P9"/>
  <c r="P18"/>
  <c r="P30"/>
  <c r="P33"/>
  <c r="P32" i="6"/>
  <c r="P82" i="3"/>
  <c r="P77" i="2"/>
  <c r="P85"/>
  <c r="P20" i="3"/>
  <c r="P49" i="4"/>
  <c r="P58"/>
  <c r="P76"/>
  <c r="P43" i="2"/>
  <c r="P50" i="3"/>
  <c r="P81"/>
  <c r="P18" i="2"/>
  <c r="P27"/>
  <c r="P9" i="3"/>
  <c r="P39"/>
  <c r="P19" i="5"/>
  <c r="P37"/>
  <c r="P10" i="6"/>
  <c r="P22"/>
  <c r="P31"/>
  <c r="P24" i="2"/>
  <c r="P30"/>
  <c r="P43" i="3"/>
  <c r="P55"/>
  <c r="P83" i="6"/>
  <c r="P25" i="3"/>
  <c r="P78" i="4"/>
  <c r="P77" i="5"/>
  <c r="P79" i="2"/>
  <c r="P76"/>
  <c r="P48" i="4"/>
  <c r="P83" i="2"/>
  <c r="P49" i="3"/>
  <c r="P47" i="2"/>
  <c r="P40"/>
  <c r="P44"/>
  <c r="P52"/>
  <c r="P75"/>
  <c r="P22"/>
  <c r="P28"/>
  <c r="P31"/>
  <c r="P34"/>
  <c r="P41"/>
  <c r="P49"/>
  <c r="P80"/>
  <c r="P26"/>
  <c r="P46"/>
  <c r="P15"/>
  <c r="P39"/>
  <c r="P54" i="3"/>
  <c r="P73"/>
  <c r="P51"/>
  <c r="P74"/>
  <c r="P10"/>
  <c r="P48"/>
  <c r="P52"/>
  <c r="P75"/>
  <c r="P79"/>
  <c r="P76"/>
  <c r="P14"/>
  <c r="P26"/>
  <c r="P32"/>
  <c r="P38"/>
  <c r="P42"/>
  <c r="P45"/>
  <c r="P46"/>
  <c r="P80"/>
  <c r="P84"/>
  <c r="P83" i="4"/>
  <c r="P80"/>
  <c r="P40"/>
  <c r="P73"/>
  <c r="P81"/>
  <c r="P55"/>
  <c r="P52"/>
  <c r="P22"/>
  <c r="P75"/>
  <c r="P45"/>
  <c r="P14"/>
  <c r="P42"/>
  <c r="P44" i="5"/>
  <c r="P83"/>
  <c r="P80"/>
  <c r="P38"/>
  <c r="P50"/>
  <c r="P13"/>
  <c r="P47"/>
  <c r="P55"/>
  <c r="P74"/>
  <c r="P40" i="6"/>
  <c r="P82"/>
  <c r="P44"/>
  <c r="P48"/>
  <c r="P53"/>
  <c r="P80"/>
  <c r="P9"/>
  <c r="P18"/>
  <c r="P21"/>
  <c r="P33"/>
  <c r="P46"/>
  <c r="P50"/>
  <c r="P54"/>
  <c r="P77"/>
  <c r="P12"/>
  <c r="P30"/>
  <c r="P36"/>
  <c r="P39"/>
  <c r="P78" i="7"/>
  <c r="P21"/>
  <c r="P33"/>
  <c r="P45"/>
  <c r="P75"/>
  <c r="P76"/>
  <c r="P80"/>
  <c r="P43"/>
  <c r="P47"/>
  <c r="P51"/>
  <c r="P41"/>
  <c r="P42"/>
  <c r="P22"/>
  <c r="P28"/>
  <c r="P31"/>
  <c r="P44"/>
  <c r="P34"/>
  <c r="P48"/>
  <c r="P74"/>
  <c r="P11"/>
  <c r="P52"/>
  <c r="P57"/>
  <c r="P53"/>
  <c r="P26"/>
  <c r="P32"/>
  <c r="P38"/>
  <c r="P58"/>
  <c r="P84"/>
  <c r="P9"/>
  <c r="P39"/>
  <c r="P50"/>
  <c r="P36"/>
  <c r="P46"/>
  <c r="P10"/>
  <c r="P13"/>
  <c r="P35"/>
  <c r="P82"/>
  <c r="P15"/>
  <c r="P18"/>
  <c r="P24"/>
  <c r="P79"/>
  <c r="P73"/>
  <c r="P83"/>
  <c r="P27"/>
  <c r="P30"/>
  <c r="P55"/>
  <c r="P25"/>
  <c r="P17"/>
  <c r="P20"/>
  <c r="P49"/>
  <c r="P37"/>
  <c r="P85"/>
  <c r="P23"/>
  <c r="P12"/>
  <c r="P29"/>
  <c r="P40"/>
  <c r="P31" i="3"/>
  <c r="P34"/>
  <c r="P37"/>
  <c r="P53"/>
  <c r="P11"/>
  <c r="P47"/>
  <c r="P23"/>
  <c r="P44"/>
  <c r="P41"/>
  <c r="P57"/>
  <c r="P12"/>
  <c r="P83"/>
  <c r="P30"/>
  <c r="P33"/>
  <c r="P77"/>
  <c r="P44" i="4"/>
  <c r="P50"/>
  <c r="P11"/>
  <c r="P32"/>
  <c r="P41"/>
  <c r="P26"/>
  <c r="P38"/>
  <c r="P21"/>
  <c r="P47"/>
  <c r="P77"/>
  <c r="P74"/>
  <c r="P10"/>
  <c r="P25"/>
  <c r="P34"/>
  <c r="P37"/>
  <c r="P57"/>
  <c r="P12" i="5"/>
  <c r="P33"/>
  <c r="P27"/>
  <c r="P30"/>
  <c r="P51"/>
  <c r="P10"/>
  <c r="P25"/>
  <c r="P31"/>
  <c r="P34"/>
  <c r="P48"/>
  <c r="P57"/>
  <c r="P73"/>
  <c r="P14"/>
  <c r="P17"/>
  <c r="P53"/>
  <c r="P11"/>
  <c r="P20"/>
  <c r="P23"/>
  <c r="P26"/>
  <c r="P29"/>
  <c r="P41"/>
  <c r="P84"/>
  <c r="P15" i="6"/>
  <c r="P24"/>
  <c r="P45"/>
  <c r="P57"/>
  <c r="P75"/>
  <c r="P42"/>
  <c r="P19"/>
  <c r="P37"/>
  <c r="P73"/>
  <c r="P14"/>
  <c r="P20"/>
  <c r="P47"/>
  <c r="P74"/>
  <c r="P51"/>
  <c r="P50" i="2"/>
  <c r="P54"/>
  <c r="P73"/>
  <c r="P55"/>
  <c r="P74"/>
  <c r="P14"/>
  <c r="P11"/>
  <c r="P32"/>
  <c r="P35"/>
  <c r="P57"/>
  <c r="P23"/>
  <c r="P58"/>
  <c r="P25"/>
  <c r="P36"/>
  <c r="P81"/>
  <c r="P17"/>
  <c r="P37"/>
  <c r="P78"/>
  <c r="P20"/>
  <c r="P12"/>
  <c r="P21"/>
  <c r="P29"/>
  <c r="P51"/>
  <c r="P10"/>
  <c r="P13"/>
  <c r="P48"/>
  <c r="P45"/>
  <c r="P16"/>
  <c r="P42"/>
  <c r="P16" i="3"/>
  <c r="P28"/>
  <c r="P36"/>
  <c r="P17"/>
  <c r="P29"/>
  <c r="P15"/>
  <c r="P18"/>
  <c r="P21"/>
  <c r="P13"/>
  <c r="P24"/>
  <c r="P27"/>
  <c r="P35"/>
  <c r="P36" i="4"/>
  <c r="P19"/>
  <c r="P28"/>
  <c r="P17"/>
  <c r="P20"/>
  <c r="P31"/>
  <c r="P12"/>
  <c r="P23"/>
  <c r="P29"/>
  <c r="P16"/>
  <c r="P15"/>
  <c r="P24"/>
  <c r="P35"/>
  <c r="P13"/>
  <c r="P27"/>
  <c r="P42" i="5"/>
  <c r="P49"/>
  <c r="P75"/>
  <c r="P82"/>
  <c r="P16"/>
  <c r="P22"/>
  <c r="P36"/>
  <c r="P39"/>
  <c r="P46"/>
  <c r="P58"/>
  <c r="P79"/>
  <c r="P28"/>
  <c r="P43"/>
  <c r="P54"/>
  <c r="P76"/>
  <c r="P40"/>
  <c r="P9"/>
  <c r="P81"/>
  <c r="P32"/>
  <c r="P35"/>
  <c r="P15"/>
  <c r="P18"/>
  <c r="P21"/>
  <c r="P24"/>
  <c r="P45"/>
  <c r="P52"/>
  <c r="P78"/>
  <c r="P85"/>
  <c r="P78" i="6"/>
  <c r="P55"/>
  <c r="P13"/>
  <c r="P35"/>
  <c r="P16"/>
  <c r="P27"/>
  <c r="P79"/>
  <c r="P58"/>
  <c r="P11"/>
  <c r="P25"/>
  <c r="P76"/>
  <c r="P17"/>
  <c r="P28"/>
  <c r="P23"/>
  <c r="P84"/>
  <c r="P29"/>
  <c r="P52"/>
  <c r="P81"/>
  <c r="P49"/>
  <c r="P85"/>
  <c r="R9" i="2" l="1"/>
  <c r="S9" l="1"/>
  <c r="T9" l="1"/>
  <c r="P9" s="1"/>
  <c r="N9"/>
</calcChain>
</file>

<file path=xl/sharedStrings.xml><?xml version="1.0" encoding="utf-8"?>
<sst xmlns="http://schemas.openxmlformats.org/spreadsheetml/2006/main" count="680" uniqueCount="96">
  <si>
    <t xml:space="preserve">             LORDS INSTITUTE OF ENGINEERING AND TECHNOLOGY </t>
  </si>
  <si>
    <t>(UGC AUTONOMOUS)</t>
  </si>
  <si>
    <t>Approved by AICTE/Affiliated to OsmaniaUniversity/Estd.2002</t>
  </si>
  <si>
    <t>Course Name:</t>
  </si>
  <si>
    <t>Course  Code:</t>
  </si>
  <si>
    <t>S.NO.</t>
  </si>
  <si>
    <t>H.T.NO.</t>
  </si>
  <si>
    <t>Q1(6 Marks)</t>
  </si>
  <si>
    <t>Q.2(7 Marks)</t>
  </si>
  <si>
    <t>Q.3(7 Marks)</t>
  </si>
  <si>
    <t>Q.4(7 Marks)</t>
  </si>
  <si>
    <t>TOTAL (Max.Marks 20)</t>
  </si>
  <si>
    <t>TOTAL</t>
  </si>
  <si>
    <t>a</t>
  </si>
  <si>
    <t>b</t>
  </si>
  <si>
    <t>c</t>
  </si>
  <si>
    <t>Signature of the Faculty</t>
  </si>
  <si>
    <t>Name of the Faculty</t>
  </si>
  <si>
    <t>Signature of the HoD</t>
  </si>
  <si>
    <t>PYTHON PROGRAMING</t>
  </si>
  <si>
    <t>DISCRETE MATHEMATICS</t>
  </si>
  <si>
    <t>DATA STRUCTURES</t>
  </si>
  <si>
    <t>OPERATIONS RESEARCH</t>
  </si>
  <si>
    <t>DIGITAL ELECTRONICS AND COMPUTER ORGANIZATION</t>
  </si>
  <si>
    <t>Branch:CSE(Section-C)</t>
  </si>
  <si>
    <t>B.E  III SEMESTER – CONTINUOUS INTERNAL EVALUATION-I Nov 2024(A.Y. 2024-25)</t>
  </si>
  <si>
    <t>U23CM301</t>
  </si>
  <si>
    <t>U23CS301</t>
  </si>
  <si>
    <t>U23CS302</t>
  </si>
  <si>
    <t>U23ME307</t>
  </si>
  <si>
    <t>U23EC304</t>
  </si>
  <si>
    <t>AB</t>
  </si>
  <si>
    <t>SYED YAKUB</t>
  </si>
  <si>
    <t>SAMIUDDIN ANSARI</t>
  </si>
  <si>
    <t>RABIYA HAREEM</t>
  </si>
  <si>
    <t>AYESHA SADAF</t>
  </si>
  <si>
    <t>MOHD KALEEM</t>
  </si>
  <si>
    <t>MOHAMMED FARAZ KHAN</t>
  </si>
  <si>
    <t>ARSHIYA NAAZ</t>
  </si>
  <si>
    <t>MOHAMMED WAHAJ ABDUL SALAM</t>
  </si>
  <si>
    <t>SYED INAAM UL HAQ</t>
  </si>
  <si>
    <t>SAFOORA YASMEEN</t>
  </si>
  <si>
    <t>MOHAMMED KAIF ANSARI</t>
  </si>
  <si>
    <t>MOHAMMED ABDUL RAHMAN</t>
  </si>
  <si>
    <t>FATIMA UZ ZEHRA</t>
  </si>
  <si>
    <t>FAWAZ FAROOQ</t>
  </si>
  <si>
    <t>AMMAR AHMED</t>
  </si>
  <si>
    <t>MOHD FOUZAN</t>
  </si>
  <si>
    <t>MOHAMMAD MAAZ</t>
  </si>
  <si>
    <t>SYED HAMZA NOOR</t>
  </si>
  <si>
    <t>OMER MOHAMMED YAFAI</t>
  </si>
  <si>
    <t>MOHAMMED FARHAN MAJEED</t>
  </si>
  <si>
    <t>MD IQBAL PASHA</t>
  </si>
  <si>
    <t>AISHA SULTANA</t>
  </si>
  <si>
    <t>MOHD YOUSUF KHAN ANAS</t>
  </si>
  <si>
    <t>IQRA FATIMA</t>
  </si>
  <si>
    <t>MIRZA MUSTAFA ALI BAIG</t>
  </si>
  <si>
    <t>SHAIK HASEENA</t>
  </si>
  <si>
    <t>MOHD  FURQUAN UR RAHMAN</t>
  </si>
  <si>
    <t>MOHAMMED FAHEEM AHMED</t>
  </si>
  <si>
    <t>MD MOTIOUR RAHMAN</t>
  </si>
  <si>
    <t>AYAN AFROZ</t>
  </si>
  <si>
    <t>FAWAZ ASAD ULLHA SHARIF</t>
  </si>
  <si>
    <t>MOHAMMED UFRAAN ABDULLAH SIDDIQUI</t>
  </si>
  <si>
    <t>MOHD JUNAED AHMED</t>
  </si>
  <si>
    <t>MOHAMMAD FARAZ HUSSAIN</t>
  </si>
  <si>
    <t>MOHAMMED ABDUL AHAD</t>
  </si>
  <si>
    <t>SHAIK IBRAHIM</t>
  </si>
  <si>
    <t>MOHAMMED ZUBAIR UZ ZAMAN</t>
  </si>
  <si>
    <t>MIR ADAM ALI</t>
  </si>
  <si>
    <t xml:space="preserve">MOHAMMED USAID </t>
  </si>
  <si>
    <t>SYED ABRAR HUSSAIN</t>
  </si>
  <si>
    <t>AYAZ AHMED KHAN</t>
  </si>
  <si>
    <t>MOHAMMED MUSTAFA</t>
  </si>
  <si>
    <t>MOHAMMED ABDUL RAQUEEB</t>
  </si>
  <si>
    <t>MOHAMMED MUTAHIR HUSSAIN</t>
  </si>
  <si>
    <t>SYED SUMAAN SAJEED</t>
  </si>
  <si>
    <t>SIDDIQI ABDUL HAI</t>
  </si>
  <si>
    <t>IBRAHIM ISHAK JABRI</t>
  </si>
  <si>
    <t>MIRZA MUBASHIR BAIG</t>
  </si>
  <si>
    <t>MOHAMMAD MUZZAMMIL</t>
  </si>
  <si>
    <t>SYED  MOHAMMED  AKBAR UDDIN</t>
  </si>
  <si>
    <t>IBRAHIM AHMED QURESHI</t>
  </si>
  <si>
    <t>SHAIK MOHD ABRAR</t>
  </si>
  <si>
    <t>SHAIK JEELANI SAIF</t>
  </si>
  <si>
    <t>ANAS ALI</t>
  </si>
  <si>
    <t xml:space="preserve">MOHAMMED TALHA TAUQEER </t>
  </si>
  <si>
    <t>MOHD SAYEED UDDIN</t>
  </si>
  <si>
    <t xml:space="preserve">MOHAMMED  SALAHUDDIN       </t>
  </si>
  <si>
    <t>ZEBA ALI KHAN</t>
  </si>
  <si>
    <t>MOHD ARMAN ALI</t>
  </si>
  <si>
    <t>MOHD IBRAHIM ALI</t>
  </si>
  <si>
    <t>MOHD SOHAIL KHAN</t>
  </si>
  <si>
    <t>OMER BIN ZAMEER</t>
  </si>
  <si>
    <t>SAMREEN SUMAYA</t>
  </si>
  <si>
    <t>SHAIK AHMED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</si>
</sst>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Garamond"/>
      <family val="1"/>
    </font>
    <font>
      <sz val="14"/>
      <color theme="1"/>
      <name val="Calibri"/>
      <family val="2"/>
      <scheme val="minor"/>
    </font>
    <font>
      <b/>
      <sz val="12"/>
      <color theme="1"/>
      <name val="Garamond"/>
      <family val="1"/>
    </font>
    <font>
      <sz val="10"/>
      <color theme="1"/>
      <name val="Garamond"/>
      <family val="1"/>
    </font>
    <font>
      <b/>
      <sz val="14"/>
      <color rgb="FF000000"/>
      <name val="Garamond"/>
      <family val="1"/>
    </font>
    <font>
      <b/>
      <sz val="12"/>
      <color rgb="FF000000"/>
      <name val="Garamond"/>
      <family val="1"/>
    </font>
    <font>
      <sz val="12"/>
      <name val="Calibri"/>
      <family val="2"/>
    </font>
    <font>
      <b/>
      <sz val="8"/>
      <color rgb="FF000000"/>
      <name val="Garamond"/>
      <family val="1"/>
    </font>
    <font>
      <sz val="10"/>
      <color rgb="FF000000"/>
      <name val="Garamond"/>
      <family val="1"/>
    </font>
    <font>
      <sz val="11"/>
      <color rgb="FF000000"/>
      <name val="Garamond"/>
      <family val="1"/>
    </font>
    <font>
      <b/>
      <sz val="10"/>
      <color rgb="FF000000"/>
      <name val="Garamond"/>
      <family val="1"/>
    </font>
    <font>
      <sz val="11"/>
      <name val="Calibri"/>
      <family val="2"/>
    </font>
    <font>
      <sz val="8"/>
      <color rgb="FF000000"/>
      <name val="Garamond"/>
      <family val="1"/>
    </font>
    <font>
      <sz val="11"/>
      <color theme="1"/>
      <name val="Garamond"/>
      <family val="1"/>
    </font>
    <font>
      <sz val="9"/>
      <color theme="1"/>
      <name val="Garamond"/>
      <family val="1"/>
    </font>
    <font>
      <sz val="11"/>
      <color theme="1"/>
      <name val="Inconsolata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9"/>
      <color rgb="FF000000"/>
      <name val="Garamond"/>
      <family val="1"/>
    </font>
    <font>
      <sz val="9"/>
      <name val="Calibri"/>
      <family val="2"/>
    </font>
    <font>
      <sz val="12"/>
      <color theme="1"/>
      <name val="Times New Roman"/>
      <family val="1"/>
    </font>
    <font>
      <sz val="9"/>
      <color rgb="FFFF000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Protection="1">
      <protection locked="0"/>
    </xf>
    <xf numFmtId="0" fontId="17" fillId="2" borderId="0" xfId="0" applyFont="1" applyFill="1" applyAlignment="1" applyProtection="1">
      <alignment horizontal="right"/>
      <protection locked="0"/>
    </xf>
    <xf numFmtId="0" fontId="1" fillId="0" borderId="0" xfId="0" applyFont="1" applyAlignment="1" applyProtection="1">
      <alignment horizontal="right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/>
      <protection hidden="1"/>
    </xf>
    <xf numFmtId="0" fontId="1" fillId="0" borderId="4" xfId="0" applyFont="1" applyBorder="1" applyProtection="1">
      <protection locked="0"/>
    </xf>
    <xf numFmtId="1" fontId="22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Protection="1"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vertical="center"/>
      <protection locked="0"/>
    </xf>
    <xf numFmtId="0" fontId="0" fillId="0" borderId="1" xfId="0" quotePrefix="1" applyBorder="1" applyAlignment="1" applyProtection="1">
      <alignment vertical="center" wrapText="1"/>
      <protection locked="0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122959</xdr:colOff>
      <xdr:row>0</xdr:row>
      <xdr:rowOff>0</xdr:rowOff>
    </xdr:from>
    <xdr:to>
      <xdr:col>2</xdr:col>
      <xdr:colOff>267566</xdr:colOff>
      <xdr:row>2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AF55D6BA-9269-46AB-866A-8E00AB382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 bwMode="auto">
        <a:xfrm>
          <a:off x="180109" y="0"/>
          <a:ext cx="516082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0</xdr:rowOff>
    </xdr:from>
    <xdr:to>
      <xdr:col>2</xdr:col>
      <xdr:colOff>257175</xdr:colOff>
      <xdr:row>2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800C3330-7ECB-4F64-B246-BAF78D0B7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 bwMode="auto">
        <a:xfrm>
          <a:off x="133350" y="0"/>
          <a:ext cx="552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2</xdr:col>
      <xdr:colOff>152399</xdr:colOff>
      <xdr:row>2</xdr:row>
      <xdr:rowOff>133350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xmlns="" id="{05E22DC6-3C74-4885-8E17-F3B90D49A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 bwMode="auto">
        <a:xfrm>
          <a:off x="190500" y="0"/>
          <a:ext cx="390524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980"/>
  <sheetViews>
    <sheetView topLeftCell="A61" workbookViewId="0">
      <selection activeCell="G69" sqref="G69"/>
    </sheetView>
  </sheetViews>
  <sheetFormatPr defaultColWidth="14.42578125" defaultRowHeight="15"/>
  <cols>
    <col min="1" max="1" width="0.85546875" style="2" customWidth="1"/>
    <col min="2" max="2" width="5.5703125" style="2" bestFit="1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16384" width="14.42578125" style="2"/>
  </cols>
  <sheetData>
    <row r="1" spans="1:22" ht="21" customHeight="1">
      <c r="A1" s="1"/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>
      <c r="A2" s="1"/>
      <c r="B2" s="37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39" t="s">
        <v>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1"/>
      <c r="O3" s="1"/>
      <c r="P3" s="1"/>
      <c r="Q3" s="1"/>
      <c r="R3" s="1"/>
      <c r="S3" s="1"/>
      <c r="T3" s="1"/>
      <c r="U3" s="1"/>
      <c r="V3" s="1"/>
    </row>
    <row r="4" spans="1:22" ht="16.5" customHeight="1">
      <c r="A4" s="1"/>
      <c r="B4" s="40" t="s">
        <v>25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  <c r="N4" s="1"/>
      <c r="O4" s="1"/>
      <c r="P4" s="1"/>
      <c r="Q4" s="1"/>
      <c r="R4" s="1"/>
      <c r="S4" s="1"/>
      <c r="T4" s="1"/>
      <c r="U4" s="1"/>
      <c r="V4" s="1"/>
    </row>
    <row r="5" spans="1:22" ht="18.75">
      <c r="A5" s="1"/>
      <c r="B5" s="43" t="s">
        <v>24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  <c r="N5" s="1"/>
      <c r="O5" s="1"/>
      <c r="P5" s="1"/>
      <c r="Q5" s="1"/>
      <c r="R5" s="1"/>
      <c r="S5" s="1"/>
      <c r="T5" s="1"/>
      <c r="U5" s="1"/>
      <c r="V5" s="1"/>
    </row>
    <row r="6" spans="1:22" ht="22.5">
      <c r="A6" s="1"/>
      <c r="B6" s="31" t="s">
        <v>3</v>
      </c>
      <c r="C6" s="32"/>
      <c r="D6" s="31"/>
      <c r="E6" s="33"/>
      <c r="F6" s="33"/>
      <c r="G6" s="33"/>
      <c r="H6" s="33"/>
      <c r="I6" s="33"/>
      <c r="J6" s="33"/>
      <c r="K6" s="3" t="s">
        <v>4</v>
      </c>
      <c r="L6" s="34"/>
      <c r="M6" s="34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/>
      <c r="B7" s="21" t="s">
        <v>5</v>
      </c>
      <c r="C7" s="28" t="s">
        <v>6</v>
      </c>
      <c r="D7" s="29" t="s">
        <v>7</v>
      </c>
      <c r="E7" s="30"/>
      <c r="F7" s="30"/>
      <c r="G7" s="29" t="s">
        <v>8</v>
      </c>
      <c r="H7" s="30"/>
      <c r="I7" s="29" t="s">
        <v>9</v>
      </c>
      <c r="J7" s="30"/>
      <c r="K7" s="29" t="s">
        <v>10</v>
      </c>
      <c r="L7" s="30"/>
      <c r="M7" s="20" t="s">
        <v>11</v>
      </c>
      <c r="N7" s="4" t="s">
        <v>12</v>
      </c>
      <c r="O7" s="1"/>
      <c r="P7" s="1"/>
      <c r="Q7" s="1"/>
      <c r="R7" s="1"/>
      <c r="S7" s="1"/>
      <c r="T7" s="1"/>
      <c r="U7" s="1"/>
      <c r="V7" s="1"/>
    </row>
    <row r="8" spans="1:22">
      <c r="A8" s="1"/>
      <c r="B8" s="21"/>
      <c r="C8" s="28"/>
      <c r="D8" s="5" t="s">
        <v>13</v>
      </c>
      <c r="E8" s="5" t="s">
        <v>14</v>
      </c>
      <c r="F8" s="5" t="s">
        <v>15</v>
      </c>
      <c r="G8" s="5" t="s">
        <v>13</v>
      </c>
      <c r="H8" s="5" t="s">
        <v>14</v>
      </c>
      <c r="I8" s="5" t="s">
        <v>13</v>
      </c>
      <c r="J8" s="5" t="s">
        <v>14</v>
      </c>
      <c r="K8" s="5" t="s">
        <v>13</v>
      </c>
      <c r="L8" s="5" t="s">
        <v>14</v>
      </c>
      <c r="M8" s="21"/>
      <c r="N8" s="4"/>
      <c r="O8" s="1"/>
      <c r="P8" s="1"/>
      <c r="Q8" s="1"/>
      <c r="R8" s="1"/>
      <c r="S8" s="1"/>
      <c r="T8" s="1"/>
      <c r="U8" s="1"/>
      <c r="V8" s="1"/>
    </row>
    <row r="9" spans="1:22" ht="21.95" customHeight="1">
      <c r="A9" s="1"/>
      <c r="B9" s="6">
        <v>1</v>
      </c>
      <c r="C9" s="18">
        <v>160923733121</v>
      </c>
      <c r="D9" s="7"/>
      <c r="E9" s="8"/>
      <c r="F9" s="8"/>
      <c r="G9" s="8"/>
      <c r="H9" s="8"/>
      <c r="I9" s="8"/>
      <c r="J9" s="8"/>
      <c r="K9" s="8"/>
      <c r="L9" s="8"/>
      <c r="M9" s="9"/>
      <c r="N9" s="10" t="str">
        <f>IF(M9&lt;8,"F","P")</f>
        <v>F</v>
      </c>
      <c r="O9" s="1"/>
      <c r="P9" s="11">
        <f>SUM(LARGE(R9:T9,{1,2}))</f>
        <v>0</v>
      </c>
      <c r="Q9" s="1"/>
      <c r="R9" s="12">
        <f t="shared" ref="R9:R85" si="0">SUM(G9:H9)</f>
        <v>0</v>
      </c>
      <c r="S9" s="12">
        <f t="shared" ref="S9:S85" si="1">SUM(I9:J9)</f>
        <v>0</v>
      </c>
      <c r="T9" s="12">
        <f t="shared" ref="T9:T85" si="2">SUM(K9:L9)</f>
        <v>0</v>
      </c>
      <c r="U9" s="1"/>
      <c r="V9" s="1"/>
    </row>
    <row r="10" spans="1:22" ht="21.95" customHeight="1">
      <c r="A10" s="1"/>
      <c r="B10" s="13">
        <v>2</v>
      </c>
      <c r="C10" s="18">
        <v>160923733122</v>
      </c>
      <c r="D10" s="7"/>
      <c r="E10" s="8"/>
      <c r="F10" s="8"/>
      <c r="G10" s="8"/>
      <c r="H10" s="8"/>
      <c r="I10" s="8"/>
      <c r="J10" s="8"/>
      <c r="K10" s="8"/>
      <c r="L10" s="8"/>
      <c r="M10" s="9"/>
      <c r="N10" s="10" t="str">
        <f t="shared" ref="N10:N38" si="3">IF(M10&lt;8,"F","P")</f>
        <v>F</v>
      </c>
      <c r="O10" s="1"/>
      <c r="P10" s="11">
        <f>SUM(LARGE(R10:T10,{1,2}))</f>
        <v>0</v>
      </c>
      <c r="Q10" s="1"/>
      <c r="R10" s="12">
        <f t="shared" si="0"/>
        <v>0</v>
      </c>
      <c r="S10" s="12">
        <f t="shared" si="1"/>
        <v>0</v>
      </c>
      <c r="T10" s="12">
        <f t="shared" si="2"/>
        <v>0</v>
      </c>
      <c r="U10" s="1"/>
      <c r="V10" s="1"/>
    </row>
    <row r="11" spans="1:22" ht="21.95" customHeight="1">
      <c r="A11" s="1"/>
      <c r="B11" s="6">
        <v>3</v>
      </c>
      <c r="C11" s="18">
        <v>160923733123</v>
      </c>
      <c r="D11" s="7"/>
      <c r="E11" s="8"/>
      <c r="F11" s="8"/>
      <c r="G11" s="8"/>
      <c r="H11" s="8"/>
      <c r="I11" s="8"/>
      <c r="J11" s="8"/>
      <c r="K11" s="8"/>
      <c r="L11" s="8"/>
      <c r="M11" s="9"/>
      <c r="N11" s="10" t="str">
        <f t="shared" si="3"/>
        <v>F</v>
      </c>
      <c r="O11" s="1"/>
      <c r="P11" s="11">
        <f>SUM(LARGE(R11:T11,{1,2}))</f>
        <v>0</v>
      </c>
      <c r="Q11" s="1"/>
      <c r="R11" s="12">
        <f t="shared" si="0"/>
        <v>0</v>
      </c>
      <c r="S11" s="12">
        <f t="shared" si="1"/>
        <v>0</v>
      </c>
      <c r="T11" s="12">
        <f t="shared" si="2"/>
        <v>0</v>
      </c>
      <c r="U11" s="1"/>
      <c r="V11" s="1"/>
    </row>
    <row r="12" spans="1:22" ht="21.95" customHeight="1">
      <c r="A12" s="1"/>
      <c r="B12" s="13">
        <v>4</v>
      </c>
      <c r="C12" s="18">
        <v>160923733124</v>
      </c>
      <c r="D12" s="7"/>
      <c r="E12" s="8"/>
      <c r="F12" s="8"/>
      <c r="G12" s="8"/>
      <c r="H12" s="8"/>
      <c r="I12" s="8"/>
      <c r="J12" s="8"/>
      <c r="K12" s="8"/>
      <c r="L12" s="8"/>
      <c r="M12" s="9"/>
      <c r="N12" s="10" t="str">
        <f t="shared" si="3"/>
        <v>F</v>
      </c>
      <c r="O12" s="1"/>
      <c r="P12" s="11">
        <f>SUM(LARGE(R12:T12,{1,2}))</f>
        <v>0</v>
      </c>
      <c r="Q12" s="1"/>
      <c r="R12" s="12">
        <f t="shared" si="0"/>
        <v>0</v>
      </c>
      <c r="S12" s="12">
        <f t="shared" si="1"/>
        <v>0</v>
      </c>
      <c r="T12" s="12">
        <f t="shared" si="2"/>
        <v>0</v>
      </c>
      <c r="U12" s="1"/>
      <c r="V12" s="1"/>
    </row>
    <row r="13" spans="1:22" ht="21.95" customHeight="1">
      <c r="A13" s="1"/>
      <c r="B13" s="6">
        <v>5</v>
      </c>
      <c r="C13" s="18">
        <v>160923733125</v>
      </c>
      <c r="D13" s="7"/>
      <c r="E13" s="8"/>
      <c r="F13" s="8"/>
      <c r="G13" s="8"/>
      <c r="H13" s="8"/>
      <c r="I13" s="8"/>
      <c r="J13" s="8"/>
      <c r="K13" s="8"/>
      <c r="L13" s="8"/>
      <c r="M13" s="9"/>
      <c r="N13" s="10" t="str">
        <f t="shared" si="3"/>
        <v>F</v>
      </c>
      <c r="O13" s="1"/>
      <c r="P13" s="11">
        <f>SUM(LARGE(R13:T13,{1,2}))</f>
        <v>0</v>
      </c>
      <c r="Q13" s="1"/>
      <c r="R13" s="12">
        <f t="shared" si="0"/>
        <v>0</v>
      </c>
      <c r="S13" s="12">
        <f t="shared" si="1"/>
        <v>0</v>
      </c>
      <c r="T13" s="12">
        <f t="shared" si="2"/>
        <v>0</v>
      </c>
      <c r="U13" s="1"/>
      <c r="V13" s="1"/>
    </row>
    <row r="14" spans="1:22" ht="21.95" customHeight="1">
      <c r="A14" s="1"/>
      <c r="B14" s="13">
        <v>6</v>
      </c>
      <c r="C14" s="18">
        <v>160923733126</v>
      </c>
      <c r="D14" s="7"/>
      <c r="E14" s="8"/>
      <c r="F14" s="8"/>
      <c r="G14" s="8"/>
      <c r="H14" s="8"/>
      <c r="I14" s="8"/>
      <c r="J14" s="8"/>
      <c r="K14" s="8"/>
      <c r="L14" s="8"/>
      <c r="M14" s="9"/>
      <c r="N14" s="10" t="str">
        <f t="shared" si="3"/>
        <v>F</v>
      </c>
      <c r="O14" s="1"/>
      <c r="P14" s="11">
        <f>SUM(LARGE(R14:T14,{1,2}))</f>
        <v>0</v>
      </c>
      <c r="Q14" s="1"/>
      <c r="R14" s="12">
        <f t="shared" si="0"/>
        <v>0</v>
      </c>
      <c r="S14" s="12">
        <f t="shared" si="1"/>
        <v>0</v>
      </c>
      <c r="T14" s="12">
        <f t="shared" si="2"/>
        <v>0</v>
      </c>
      <c r="U14" s="1"/>
      <c r="V14" s="1"/>
    </row>
    <row r="15" spans="1:22" ht="21.95" customHeight="1">
      <c r="A15" s="1"/>
      <c r="B15" s="6">
        <v>7</v>
      </c>
      <c r="C15" s="18">
        <v>160923733127</v>
      </c>
      <c r="D15" s="7"/>
      <c r="E15" s="8"/>
      <c r="F15" s="8"/>
      <c r="G15" s="8"/>
      <c r="H15" s="8"/>
      <c r="I15" s="8"/>
      <c r="J15" s="8"/>
      <c r="K15" s="8"/>
      <c r="L15" s="8"/>
      <c r="M15" s="9"/>
      <c r="N15" s="10" t="str">
        <f t="shared" si="3"/>
        <v>F</v>
      </c>
      <c r="O15" s="1"/>
      <c r="P15" s="11">
        <f>SUM(LARGE(R15:T15,{1,2}))</f>
        <v>0</v>
      </c>
      <c r="Q15" s="1"/>
      <c r="R15" s="12">
        <f t="shared" si="0"/>
        <v>0</v>
      </c>
      <c r="S15" s="12">
        <f t="shared" si="1"/>
        <v>0</v>
      </c>
      <c r="T15" s="12">
        <f t="shared" si="2"/>
        <v>0</v>
      </c>
      <c r="U15" s="1"/>
      <c r="V15" s="1"/>
    </row>
    <row r="16" spans="1:22" ht="21.95" customHeight="1">
      <c r="A16" s="1"/>
      <c r="B16" s="13">
        <v>8</v>
      </c>
      <c r="C16" s="18">
        <v>160923733129</v>
      </c>
      <c r="D16" s="7"/>
      <c r="E16" s="8"/>
      <c r="F16" s="8"/>
      <c r="G16" s="8"/>
      <c r="H16" s="8"/>
      <c r="I16" s="8"/>
      <c r="J16" s="8"/>
      <c r="K16" s="8"/>
      <c r="L16" s="8"/>
      <c r="M16" s="9"/>
      <c r="N16" s="10" t="str">
        <f t="shared" si="3"/>
        <v>F</v>
      </c>
      <c r="O16" s="1"/>
      <c r="P16" s="11">
        <f>SUM(LARGE(R16:T16,{1,2}))</f>
        <v>0</v>
      </c>
      <c r="Q16" s="1"/>
      <c r="R16" s="12">
        <f t="shared" si="0"/>
        <v>0</v>
      </c>
      <c r="S16" s="12">
        <f t="shared" si="1"/>
        <v>0</v>
      </c>
      <c r="T16" s="12">
        <f t="shared" si="2"/>
        <v>0</v>
      </c>
      <c r="U16" s="1"/>
      <c r="V16" s="1"/>
    </row>
    <row r="17" spans="1:22" ht="21.95" customHeight="1">
      <c r="A17" s="1"/>
      <c r="B17" s="6">
        <v>9</v>
      </c>
      <c r="C17" s="18">
        <v>160923733130</v>
      </c>
      <c r="D17" s="7"/>
      <c r="E17" s="8"/>
      <c r="F17" s="8"/>
      <c r="G17" s="8"/>
      <c r="H17" s="8"/>
      <c r="I17" s="8"/>
      <c r="J17" s="8"/>
      <c r="K17" s="8"/>
      <c r="L17" s="8"/>
      <c r="M17" s="9"/>
      <c r="N17" s="10" t="str">
        <f t="shared" si="3"/>
        <v>F</v>
      </c>
      <c r="O17" s="1"/>
      <c r="P17" s="11">
        <f>SUM(LARGE(R17:T17,{1,2}))</f>
        <v>0</v>
      </c>
      <c r="Q17" s="1"/>
      <c r="R17" s="12">
        <f t="shared" si="0"/>
        <v>0</v>
      </c>
      <c r="S17" s="12">
        <f t="shared" si="1"/>
        <v>0</v>
      </c>
      <c r="T17" s="12">
        <f t="shared" si="2"/>
        <v>0</v>
      </c>
      <c r="U17" s="1"/>
      <c r="V17" s="1"/>
    </row>
    <row r="18" spans="1:22" ht="21.95" customHeight="1">
      <c r="A18" s="1"/>
      <c r="B18" s="13">
        <v>10</v>
      </c>
      <c r="C18" s="18">
        <v>160923733131</v>
      </c>
      <c r="D18" s="7"/>
      <c r="E18" s="8"/>
      <c r="F18" s="8"/>
      <c r="G18" s="8"/>
      <c r="H18" s="8"/>
      <c r="I18" s="8"/>
      <c r="J18" s="8"/>
      <c r="K18" s="8"/>
      <c r="L18" s="8"/>
      <c r="M18" s="9"/>
      <c r="N18" s="10" t="str">
        <f t="shared" si="3"/>
        <v>F</v>
      </c>
      <c r="O18" s="1"/>
      <c r="P18" s="11">
        <f>SUM(LARGE(R18:T18,{1,2}))</f>
        <v>0</v>
      </c>
      <c r="Q18" s="1"/>
      <c r="R18" s="12">
        <f t="shared" si="0"/>
        <v>0</v>
      </c>
      <c r="S18" s="12">
        <f t="shared" si="1"/>
        <v>0</v>
      </c>
      <c r="T18" s="12">
        <f t="shared" si="2"/>
        <v>0</v>
      </c>
      <c r="U18" s="1"/>
      <c r="V18" s="1"/>
    </row>
    <row r="19" spans="1:22" ht="21.95" customHeight="1">
      <c r="A19" s="1"/>
      <c r="B19" s="6">
        <v>11</v>
      </c>
      <c r="C19" s="18">
        <v>160923733132</v>
      </c>
      <c r="D19" s="7"/>
      <c r="E19" s="8"/>
      <c r="F19" s="8"/>
      <c r="G19" s="8"/>
      <c r="H19" s="8"/>
      <c r="I19" s="8"/>
      <c r="J19" s="8"/>
      <c r="K19" s="8"/>
      <c r="L19" s="8"/>
      <c r="M19" s="9"/>
      <c r="N19" s="10" t="str">
        <f t="shared" si="3"/>
        <v>F</v>
      </c>
      <c r="O19" s="1"/>
      <c r="P19" s="11">
        <f>SUM(LARGE(R19:T19,{1,2}))</f>
        <v>0</v>
      </c>
      <c r="Q19" s="1"/>
      <c r="R19" s="12">
        <f t="shared" si="0"/>
        <v>0</v>
      </c>
      <c r="S19" s="12">
        <f t="shared" si="1"/>
        <v>0</v>
      </c>
      <c r="T19" s="12">
        <f t="shared" si="2"/>
        <v>0</v>
      </c>
      <c r="U19" s="1"/>
      <c r="V19" s="1"/>
    </row>
    <row r="20" spans="1:22" ht="21.95" customHeight="1">
      <c r="A20" s="1"/>
      <c r="B20" s="13">
        <v>12</v>
      </c>
      <c r="C20" s="18">
        <v>160923733133</v>
      </c>
      <c r="D20" s="7"/>
      <c r="E20" s="8"/>
      <c r="F20" s="8"/>
      <c r="G20" s="8"/>
      <c r="H20" s="8"/>
      <c r="I20" s="8"/>
      <c r="J20" s="8"/>
      <c r="K20" s="8"/>
      <c r="L20" s="8"/>
      <c r="M20" s="9"/>
      <c r="N20" s="10" t="str">
        <f t="shared" si="3"/>
        <v>F</v>
      </c>
      <c r="O20" s="1"/>
      <c r="P20" s="11">
        <f>SUM(LARGE(R20:T20,{1,2}))</f>
        <v>0</v>
      </c>
      <c r="Q20" s="1"/>
      <c r="R20" s="12">
        <f t="shared" si="0"/>
        <v>0</v>
      </c>
      <c r="S20" s="12">
        <f t="shared" si="1"/>
        <v>0</v>
      </c>
      <c r="T20" s="12">
        <f t="shared" si="2"/>
        <v>0</v>
      </c>
      <c r="U20" s="1"/>
      <c r="V20" s="1"/>
    </row>
    <row r="21" spans="1:22" ht="21.95" customHeight="1">
      <c r="A21" s="1"/>
      <c r="B21" s="6">
        <v>13</v>
      </c>
      <c r="C21" s="18">
        <v>160923733134</v>
      </c>
      <c r="D21" s="7"/>
      <c r="E21" s="8"/>
      <c r="F21" s="8"/>
      <c r="G21" s="8"/>
      <c r="H21" s="8"/>
      <c r="I21" s="8"/>
      <c r="J21" s="8"/>
      <c r="K21" s="8"/>
      <c r="L21" s="8"/>
      <c r="M21" s="9"/>
      <c r="N21" s="10" t="str">
        <f t="shared" si="3"/>
        <v>F</v>
      </c>
      <c r="O21" s="1"/>
      <c r="P21" s="11">
        <f>SUM(LARGE(R21:T21,{1,2}))</f>
        <v>0</v>
      </c>
      <c r="Q21" s="1"/>
      <c r="R21" s="12">
        <f t="shared" si="0"/>
        <v>0</v>
      </c>
      <c r="S21" s="12">
        <f t="shared" si="1"/>
        <v>0</v>
      </c>
      <c r="T21" s="12">
        <f t="shared" si="2"/>
        <v>0</v>
      </c>
      <c r="U21" s="1"/>
      <c r="V21" s="1"/>
    </row>
    <row r="22" spans="1:22" ht="21.95" customHeight="1">
      <c r="A22" s="1"/>
      <c r="B22" s="13">
        <v>14</v>
      </c>
      <c r="C22" s="18">
        <v>160923733135</v>
      </c>
      <c r="D22" s="7"/>
      <c r="E22" s="8"/>
      <c r="F22" s="8"/>
      <c r="G22" s="8"/>
      <c r="H22" s="8"/>
      <c r="I22" s="8"/>
      <c r="J22" s="8"/>
      <c r="K22" s="8"/>
      <c r="L22" s="8"/>
      <c r="M22" s="9"/>
      <c r="N22" s="10" t="str">
        <f t="shared" si="3"/>
        <v>F</v>
      </c>
      <c r="O22" s="1"/>
      <c r="P22" s="11">
        <f>SUM(LARGE(R22:T22,{1,2}))</f>
        <v>0</v>
      </c>
      <c r="Q22" s="1"/>
      <c r="R22" s="12">
        <f t="shared" si="0"/>
        <v>0</v>
      </c>
      <c r="S22" s="12">
        <f t="shared" si="1"/>
        <v>0</v>
      </c>
      <c r="T22" s="12">
        <f t="shared" si="2"/>
        <v>0</v>
      </c>
      <c r="U22" s="1"/>
      <c r="V22" s="1"/>
    </row>
    <row r="23" spans="1:22" ht="21.95" customHeight="1">
      <c r="A23" s="1"/>
      <c r="B23" s="6">
        <v>15</v>
      </c>
      <c r="C23" s="18">
        <v>160923733136</v>
      </c>
      <c r="D23" s="7"/>
      <c r="E23" s="8"/>
      <c r="F23" s="8"/>
      <c r="G23" s="8"/>
      <c r="H23" s="8"/>
      <c r="I23" s="8"/>
      <c r="J23" s="8"/>
      <c r="K23" s="8"/>
      <c r="L23" s="8"/>
      <c r="M23" s="9"/>
      <c r="N23" s="10" t="str">
        <f t="shared" si="3"/>
        <v>F</v>
      </c>
      <c r="O23" s="1"/>
      <c r="P23" s="11">
        <f>SUM(LARGE(R23:T23,{1,2}))</f>
        <v>0</v>
      </c>
      <c r="Q23" s="1"/>
      <c r="R23" s="12">
        <f t="shared" si="0"/>
        <v>0</v>
      </c>
      <c r="S23" s="12">
        <f t="shared" si="1"/>
        <v>0</v>
      </c>
      <c r="T23" s="12">
        <f t="shared" si="2"/>
        <v>0</v>
      </c>
      <c r="U23" s="1"/>
      <c r="V23" s="1"/>
    </row>
    <row r="24" spans="1:22" ht="21.95" customHeight="1">
      <c r="A24" s="1"/>
      <c r="B24" s="13">
        <v>16</v>
      </c>
      <c r="C24" s="18">
        <v>160923733137</v>
      </c>
      <c r="D24" s="7"/>
      <c r="E24" s="8"/>
      <c r="F24" s="8"/>
      <c r="G24" s="8"/>
      <c r="H24" s="8"/>
      <c r="I24" s="8"/>
      <c r="J24" s="8"/>
      <c r="K24" s="8"/>
      <c r="L24" s="8"/>
      <c r="M24" s="9"/>
      <c r="N24" s="10" t="str">
        <f t="shared" si="3"/>
        <v>F</v>
      </c>
      <c r="O24" s="1"/>
      <c r="P24" s="11">
        <f>SUM(LARGE(R24:T24,{1,2}))</f>
        <v>0</v>
      </c>
      <c r="Q24" s="1"/>
      <c r="R24" s="12">
        <f t="shared" si="0"/>
        <v>0</v>
      </c>
      <c r="S24" s="12">
        <f t="shared" si="1"/>
        <v>0</v>
      </c>
      <c r="T24" s="12">
        <f t="shared" si="2"/>
        <v>0</v>
      </c>
      <c r="U24" s="1"/>
      <c r="V24" s="1"/>
    </row>
    <row r="25" spans="1:22" ht="21.95" customHeight="1">
      <c r="A25" s="1"/>
      <c r="B25" s="6">
        <v>17</v>
      </c>
      <c r="C25" s="18">
        <v>160923733138</v>
      </c>
      <c r="D25" s="7"/>
      <c r="E25" s="8"/>
      <c r="F25" s="8"/>
      <c r="G25" s="8"/>
      <c r="H25" s="8"/>
      <c r="I25" s="8"/>
      <c r="J25" s="8"/>
      <c r="K25" s="8"/>
      <c r="L25" s="8"/>
      <c r="M25" s="9"/>
      <c r="N25" s="10" t="str">
        <f t="shared" si="3"/>
        <v>F</v>
      </c>
      <c r="O25" s="1"/>
      <c r="P25" s="11">
        <f>SUM(LARGE(R25:T25,{1,2}))</f>
        <v>0</v>
      </c>
      <c r="Q25" s="1"/>
      <c r="R25" s="12">
        <f t="shared" si="0"/>
        <v>0</v>
      </c>
      <c r="S25" s="12">
        <f t="shared" si="1"/>
        <v>0</v>
      </c>
      <c r="T25" s="12">
        <f t="shared" si="2"/>
        <v>0</v>
      </c>
      <c r="U25" s="1"/>
      <c r="V25" s="1"/>
    </row>
    <row r="26" spans="1:22" ht="21.95" customHeight="1">
      <c r="A26" s="1"/>
      <c r="B26" s="13">
        <v>18</v>
      </c>
      <c r="C26" s="18">
        <v>160923733139</v>
      </c>
      <c r="D26" s="7"/>
      <c r="E26" s="8"/>
      <c r="F26" s="8"/>
      <c r="G26" s="8"/>
      <c r="H26" s="8"/>
      <c r="I26" s="8"/>
      <c r="J26" s="8"/>
      <c r="K26" s="8"/>
      <c r="L26" s="8"/>
      <c r="M26" s="9"/>
      <c r="N26" s="10" t="str">
        <f t="shared" si="3"/>
        <v>F</v>
      </c>
      <c r="O26" s="1"/>
      <c r="P26" s="11">
        <f>SUM(LARGE(R26:T26,{1,2}))</f>
        <v>0</v>
      </c>
      <c r="Q26" s="1"/>
      <c r="R26" s="12">
        <f t="shared" si="0"/>
        <v>0</v>
      </c>
      <c r="S26" s="12">
        <f t="shared" si="1"/>
        <v>0</v>
      </c>
      <c r="T26" s="12">
        <f t="shared" si="2"/>
        <v>0</v>
      </c>
      <c r="U26" s="1"/>
      <c r="V26" s="1"/>
    </row>
    <row r="27" spans="1:22" ht="21.95" customHeight="1">
      <c r="A27" s="1"/>
      <c r="B27" s="6">
        <v>19</v>
      </c>
      <c r="C27" s="18">
        <v>160923733140</v>
      </c>
      <c r="D27" s="7"/>
      <c r="E27" s="8"/>
      <c r="F27" s="8"/>
      <c r="G27" s="8"/>
      <c r="H27" s="8"/>
      <c r="I27" s="8"/>
      <c r="J27" s="8"/>
      <c r="K27" s="8"/>
      <c r="L27" s="8"/>
      <c r="M27" s="9"/>
      <c r="N27" s="10" t="str">
        <f t="shared" si="3"/>
        <v>F</v>
      </c>
      <c r="O27" s="1"/>
      <c r="P27" s="11">
        <f>SUM(LARGE(R27:T27,{1,2}))</f>
        <v>0</v>
      </c>
      <c r="Q27" s="1"/>
      <c r="R27" s="12">
        <f t="shared" si="0"/>
        <v>0</v>
      </c>
      <c r="S27" s="12">
        <f t="shared" si="1"/>
        <v>0</v>
      </c>
      <c r="T27" s="12">
        <f t="shared" si="2"/>
        <v>0</v>
      </c>
      <c r="U27" s="1"/>
      <c r="V27" s="1"/>
    </row>
    <row r="28" spans="1:22" ht="21.95" customHeight="1">
      <c r="A28" s="1"/>
      <c r="B28" s="13">
        <v>20</v>
      </c>
      <c r="C28" s="18">
        <v>160923733141</v>
      </c>
      <c r="D28" s="7"/>
      <c r="E28" s="8"/>
      <c r="F28" s="8"/>
      <c r="G28" s="8"/>
      <c r="H28" s="8"/>
      <c r="I28" s="8"/>
      <c r="J28" s="8"/>
      <c r="K28" s="8"/>
      <c r="L28" s="8"/>
      <c r="M28" s="9"/>
      <c r="N28" s="10" t="str">
        <f t="shared" si="3"/>
        <v>F</v>
      </c>
      <c r="O28" s="1"/>
      <c r="P28" s="11">
        <f>SUM(LARGE(R28:T28,{1,2}))</f>
        <v>0</v>
      </c>
      <c r="Q28" s="1"/>
      <c r="R28" s="12">
        <f t="shared" si="0"/>
        <v>0</v>
      </c>
      <c r="S28" s="12">
        <f t="shared" si="1"/>
        <v>0</v>
      </c>
      <c r="T28" s="12">
        <f t="shared" si="2"/>
        <v>0</v>
      </c>
      <c r="U28" s="1"/>
      <c r="V28" s="1"/>
    </row>
    <row r="29" spans="1:22" ht="21.95" customHeight="1">
      <c r="A29" s="1"/>
      <c r="B29" s="6">
        <v>21</v>
      </c>
      <c r="C29" s="18">
        <v>160923733142</v>
      </c>
      <c r="D29" s="7"/>
      <c r="E29" s="8"/>
      <c r="F29" s="8"/>
      <c r="G29" s="8"/>
      <c r="H29" s="8"/>
      <c r="I29" s="8"/>
      <c r="J29" s="8"/>
      <c r="K29" s="8"/>
      <c r="L29" s="8"/>
      <c r="M29" s="9"/>
      <c r="N29" s="10" t="str">
        <f t="shared" si="3"/>
        <v>F</v>
      </c>
      <c r="O29" s="1"/>
      <c r="P29" s="11">
        <f>SUM(LARGE(R29:T29,{1,2}))</f>
        <v>0</v>
      </c>
      <c r="Q29" s="1"/>
      <c r="R29" s="12">
        <f t="shared" si="0"/>
        <v>0</v>
      </c>
      <c r="S29" s="12">
        <f t="shared" si="1"/>
        <v>0</v>
      </c>
      <c r="T29" s="12">
        <f t="shared" si="2"/>
        <v>0</v>
      </c>
      <c r="U29" s="1"/>
      <c r="V29" s="1"/>
    </row>
    <row r="30" spans="1:22" ht="21.95" customHeight="1">
      <c r="A30" s="1"/>
      <c r="B30" s="13">
        <v>22</v>
      </c>
      <c r="C30" s="18">
        <v>160923733143</v>
      </c>
      <c r="D30" s="7"/>
      <c r="E30" s="8"/>
      <c r="F30" s="8"/>
      <c r="G30" s="8"/>
      <c r="H30" s="8"/>
      <c r="I30" s="8"/>
      <c r="J30" s="8"/>
      <c r="K30" s="8"/>
      <c r="L30" s="8"/>
      <c r="M30" s="9"/>
      <c r="N30" s="10" t="str">
        <f t="shared" si="3"/>
        <v>F</v>
      </c>
      <c r="O30" s="1"/>
      <c r="P30" s="11">
        <f>SUM(LARGE(R30:T30,{1,2}))</f>
        <v>0</v>
      </c>
      <c r="Q30" s="1"/>
      <c r="R30" s="12">
        <f t="shared" si="0"/>
        <v>0</v>
      </c>
      <c r="S30" s="12">
        <f t="shared" si="1"/>
        <v>0</v>
      </c>
      <c r="T30" s="12">
        <f t="shared" si="2"/>
        <v>0</v>
      </c>
      <c r="U30" s="1"/>
      <c r="V30" s="1"/>
    </row>
    <row r="31" spans="1:22" ht="21.95" customHeight="1">
      <c r="A31" s="1"/>
      <c r="B31" s="6">
        <v>23</v>
      </c>
      <c r="C31" s="18">
        <v>160923733144</v>
      </c>
      <c r="D31" s="7"/>
      <c r="E31" s="8"/>
      <c r="F31" s="8"/>
      <c r="G31" s="8"/>
      <c r="H31" s="8"/>
      <c r="I31" s="8"/>
      <c r="J31" s="8"/>
      <c r="K31" s="8"/>
      <c r="L31" s="8"/>
      <c r="M31" s="9"/>
      <c r="N31" s="10" t="str">
        <f t="shared" si="3"/>
        <v>F</v>
      </c>
      <c r="O31" s="1"/>
      <c r="P31" s="11">
        <f>SUM(LARGE(R31:T31,{1,2}))</f>
        <v>0</v>
      </c>
      <c r="Q31" s="1"/>
      <c r="R31" s="12">
        <f t="shared" si="0"/>
        <v>0</v>
      </c>
      <c r="S31" s="12">
        <f t="shared" si="1"/>
        <v>0</v>
      </c>
      <c r="T31" s="12">
        <f t="shared" si="2"/>
        <v>0</v>
      </c>
      <c r="U31" s="1"/>
      <c r="V31" s="1"/>
    </row>
    <row r="32" spans="1:22" ht="21.95" customHeight="1">
      <c r="A32" s="1"/>
      <c r="B32" s="13">
        <v>24</v>
      </c>
      <c r="C32" s="18">
        <v>160923733145</v>
      </c>
      <c r="D32" s="7"/>
      <c r="E32" s="8"/>
      <c r="F32" s="8"/>
      <c r="G32" s="8"/>
      <c r="H32" s="8"/>
      <c r="I32" s="8"/>
      <c r="J32" s="8"/>
      <c r="K32" s="8"/>
      <c r="L32" s="8"/>
      <c r="M32" s="9"/>
      <c r="N32" s="10" t="str">
        <f t="shared" si="3"/>
        <v>F</v>
      </c>
      <c r="O32" s="1"/>
      <c r="P32" s="11">
        <f>SUM(LARGE(R32:T32,{1,2}))</f>
        <v>0</v>
      </c>
      <c r="Q32" s="1"/>
      <c r="R32" s="12">
        <f t="shared" si="0"/>
        <v>0</v>
      </c>
      <c r="S32" s="12">
        <f t="shared" si="1"/>
        <v>0</v>
      </c>
      <c r="T32" s="12">
        <f t="shared" si="2"/>
        <v>0</v>
      </c>
      <c r="U32" s="1"/>
      <c r="V32" s="1"/>
    </row>
    <row r="33" spans="1:22" ht="21.95" customHeight="1">
      <c r="A33" s="1"/>
      <c r="B33" s="6">
        <v>25</v>
      </c>
      <c r="C33" s="18">
        <v>160923733146</v>
      </c>
      <c r="D33" s="7"/>
      <c r="E33" s="8"/>
      <c r="F33" s="8"/>
      <c r="G33" s="8"/>
      <c r="H33" s="8"/>
      <c r="I33" s="8"/>
      <c r="J33" s="8"/>
      <c r="K33" s="8"/>
      <c r="L33" s="8"/>
      <c r="M33" s="9"/>
      <c r="N33" s="10" t="str">
        <f t="shared" si="3"/>
        <v>F</v>
      </c>
      <c r="O33" s="1"/>
      <c r="P33" s="11">
        <f>SUM(LARGE(R33:T33,{1,2}))</f>
        <v>0</v>
      </c>
      <c r="Q33" s="1"/>
      <c r="R33" s="12">
        <f t="shared" si="0"/>
        <v>0</v>
      </c>
      <c r="S33" s="12">
        <f t="shared" si="1"/>
        <v>0</v>
      </c>
      <c r="T33" s="12">
        <f t="shared" si="2"/>
        <v>0</v>
      </c>
      <c r="U33" s="1"/>
      <c r="V33" s="1"/>
    </row>
    <row r="34" spans="1:22" ht="21.95" customHeight="1">
      <c r="A34" s="1"/>
      <c r="B34" s="13">
        <v>26</v>
      </c>
      <c r="C34" s="18">
        <v>160923733147</v>
      </c>
      <c r="D34" s="7"/>
      <c r="E34" s="8"/>
      <c r="F34" s="8"/>
      <c r="G34" s="8"/>
      <c r="H34" s="8"/>
      <c r="I34" s="8"/>
      <c r="J34" s="8"/>
      <c r="K34" s="8"/>
      <c r="L34" s="8"/>
      <c r="M34" s="9"/>
      <c r="N34" s="10" t="str">
        <f t="shared" si="3"/>
        <v>F</v>
      </c>
      <c r="O34" s="1"/>
      <c r="P34" s="11">
        <f>SUM(LARGE(R34:T34,{1,2}))</f>
        <v>0</v>
      </c>
      <c r="Q34" s="1"/>
      <c r="R34" s="12">
        <f t="shared" si="0"/>
        <v>0</v>
      </c>
      <c r="S34" s="12">
        <f t="shared" si="1"/>
        <v>0</v>
      </c>
      <c r="T34" s="12">
        <f t="shared" si="2"/>
        <v>0</v>
      </c>
      <c r="U34" s="1"/>
      <c r="V34" s="1"/>
    </row>
    <row r="35" spans="1:22" ht="21.95" customHeight="1">
      <c r="A35" s="1"/>
      <c r="B35" s="6">
        <v>27</v>
      </c>
      <c r="C35" s="18">
        <v>160923733148</v>
      </c>
      <c r="D35" s="7"/>
      <c r="E35" s="8"/>
      <c r="F35" s="8"/>
      <c r="G35" s="8"/>
      <c r="H35" s="8"/>
      <c r="I35" s="8"/>
      <c r="J35" s="8"/>
      <c r="K35" s="8"/>
      <c r="L35" s="8"/>
      <c r="M35" s="9"/>
      <c r="N35" s="10" t="str">
        <f t="shared" si="3"/>
        <v>F</v>
      </c>
      <c r="O35" s="1"/>
      <c r="P35" s="11">
        <f>SUM(LARGE(R35:T35,{1,2}))</f>
        <v>0</v>
      </c>
      <c r="Q35" s="1"/>
      <c r="R35" s="12">
        <f t="shared" si="0"/>
        <v>0</v>
      </c>
      <c r="S35" s="12">
        <f t="shared" si="1"/>
        <v>0</v>
      </c>
      <c r="T35" s="12">
        <f t="shared" si="2"/>
        <v>0</v>
      </c>
      <c r="U35" s="1"/>
      <c r="V35" s="1"/>
    </row>
    <row r="36" spans="1:22" ht="21.95" customHeight="1">
      <c r="A36" s="1"/>
      <c r="B36" s="13">
        <v>28</v>
      </c>
      <c r="C36" s="18">
        <v>160923733149</v>
      </c>
      <c r="D36" s="7"/>
      <c r="E36" s="8"/>
      <c r="F36" s="8"/>
      <c r="G36" s="8"/>
      <c r="H36" s="8"/>
      <c r="I36" s="8"/>
      <c r="J36" s="8"/>
      <c r="K36" s="8"/>
      <c r="L36" s="8"/>
      <c r="M36" s="9"/>
      <c r="N36" s="10" t="str">
        <f t="shared" si="3"/>
        <v>F</v>
      </c>
      <c r="O36" s="1"/>
      <c r="P36" s="11">
        <f>SUM(LARGE(R36:T36,{1,2}))</f>
        <v>0</v>
      </c>
      <c r="Q36" s="1"/>
      <c r="R36" s="12">
        <f t="shared" si="0"/>
        <v>0</v>
      </c>
      <c r="S36" s="12">
        <f t="shared" si="1"/>
        <v>0</v>
      </c>
      <c r="T36" s="12">
        <f t="shared" si="2"/>
        <v>0</v>
      </c>
      <c r="U36" s="1"/>
      <c r="V36" s="1"/>
    </row>
    <row r="37" spans="1:22" ht="21.95" customHeight="1">
      <c r="A37" s="1"/>
      <c r="B37" s="6">
        <v>29</v>
      </c>
      <c r="C37" s="18">
        <v>160923733150</v>
      </c>
      <c r="D37" s="14"/>
      <c r="E37" s="15"/>
      <c r="F37" s="15"/>
      <c r="G37" s="15"/>
      <c r="H37" s="15"/>
      <c r="I37" s="15"/>
      <c r="J37" s="15"/>
      <c r="K37" s="15"/>
      <c r="L37" s="15"/>
      <c r="M37" s="16"/>
      <c r="N37" s="10" t="str">
        <f t="shared" si="3"/>
        <v>F</v>
      </c>
      <c r="O37" s="1"/>
      <c r="P37" s="11">
        <f>SUM(LARGE(R37:T37,{1,2}))</f>
        <v>0</v>
      </c>
      <c r="Q37" s="1"/>
      <c r="R37" s="12">
        <f t="shared" si="0"/>
        <v>0</v>
      </c>
      <c r="S37" s="12">
        <f t="shared" si="1"/>
        <v>0</v>
      </c>
      <c r="T37" s="12">
        <f t="shared" si="2"/>
        <v>0</v>
      </c>
      <c r="U37" s="1"/>
      <c r="V37" s="1"/>
    </row>
    <row r="38" spans="1:22" ht="21.95" customHeight="1">
      <c r="A38" s="1"/>
      <c r="B38" s="13">
        <v>30</v>
      </c>
      <c r="C38" s="18">
        <v>160923733151</v>
      </c>
      <c r="D38" s="8"/>
      <c r="E38" s="8"/>
      <c r="F38" s="8"/>
      <c r="G38" s="8"/>
      <c r="H38" s="8"/>
      <c r="I38" s="8"/>
      <c r="J38" s="8"/>
      <c r="K38" s="8"/>
      <c r="L38" s="8"/>
      <c r="M38" s="9"/>
      <c r="N38" s="17" t="str">
        <f t="shared" si="3"/>
        <v>F</v>
      </c>
      <c r="O38" s="1"/>
      <c r="P38" s="11">
        <f>SUM(LARGE(R38:T38,{1,2}))</f>
        <v>0</v>
      </c>
      <c r="Q38" s="1"/>
      <c r="R38" s="12">
        <f t="shared" si="0"/>
        <v>0</v>
      </c>
      <c r="S38" s="12">
        <f t="shared" si="1"/>
        <v>0</v>
      </c>
      <c r="T38" s="12">
        <f t="shared" si="2"/>
        <v>0</v>
      </c>
      <c r="U38" s="1"/>
      <c r="V38" s="1"/>
    </row>
    <row r="39" spans="1:22" ht="21.95" customHeight="1">
      <c r="A39" s="1"/>
      <c r="B39" s="6">
        <v>31</v>
      </c>
      <c r="C39" s="18">
        <v>160923733152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"/>
      <c r="O39" s="1"/>
      <c r="P39" s="11">
        <f>SUM(LARGE(R39:T39,{1,2}))</f>
        <v>0</v>
      </c>
      <c r="Q39" s="1"/>
      <c r="R39" s="12">
        <f t="shared" si="0"/>
        <v>0</v>
      </c>
      <c r="S39" s="12">
        <f t="shared" si="1"/>
        <v>0</v>
      </c>
      <c r="T39" s="12">
        <f t="shared" si="2"/>
        <v>0</v>
      </c>
      <c r="U39" s="1"/>
      <c r="V39" s="1"/>
    </row>
    <row r="40" spans="1:22" ht="21.95" customHeight="1">
      <c r="A40" s="1"/>
      <c r="B40" s="13">
        <v>32</v>
      </c>
      <c r="C40" s="18">
        <v>160923733153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"/>
      <c r="O40" s="1"/>
      <c r="P40" s="11">
        <f>SUM(LARGE(R40:T40,{1,2}))</f>
        <v>0</v>
      </c>
      <c r="Q40" s="1"/>
      <c r="R40" s="12">
        <f t="shared" si="0"/>
        <v>0</v>
      </c>
      <c r="S40" s="12">
        <f t="shared" si="1"/>
        <v>0</v>
      </c>
      <c r="T40" s="12">
        <f t="shared" si="2"/>
        <v>0</v>
      </c>
      <c r="U40" s="1"/>
      <c r="V40" s="1"/>
    </row>
    <row r="41" spans="1:22" ht="21.95" customHeight="1">
      <c r="A41" s="1"/>
      <c r="B41" s="6">
        <v>33</v>
      </c>
      <c r="C41" s="18">
        <v>160923733154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"/>
      <c r="O41" s="1"/>
      <c r="P41" s="11">
        <f>SUM(LARGE(R41:T41,{1,2}))</f>
        <v>0</v>
      </c>
      <c r="Q41" s="1"/>
      <c r="R41" s="12">
        <f t="shared" si="0"/>
        <v>0</v>
      </c>
      <c r="S41" s="12">
        <f t="shared" si="1"/>
        <v>0</v>
      </c>
      <c r="T41" s="12">
        <f t="shared" si="2"/>
        <v>0</v>
      </c>
      <c r="U41" s="1"/>
      <c r="V41" s="1"/>
    </row>
    <row r="42" spans="1:22" ht="21.95" customHeight="1">
      <c r="A42" s="1"/>
      <c r="B42" s="13">
        <v>34</v>
      </c>
      <c r="C42" s="18">
        <v>160923733155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"/>
      <c r="O42" s="1"/>
      <c r="P42" s="11">
        <f>SUM(LARGE(R42:T42,{1,2}))</f>
        <v>0</v>
      </c>
      <c r="Q42" s="1"/>
      <c r="R42" s="12">
        <f t="shared" si="0"/>
        <v>0</v>
      </c>
      <c r="S42" s="12">
        <f t="shared" si="1"/>
        <v>0</v>
      </c>
      <c r="T42" s="12">
        <f t="shared" si="2"/>
        <v>0</v>
      </c>
      <c r="U42" s="1"/>
      <c r="V42" s="1"/>
    </row>
    <row r="43" spans="1:22" ht="21.95" customHeight="1">
      <c r="A43" s="1"/>
      <c r="B43" s="6">
        <v>35</v>
      </c>
      <c r="C43" s="18">
        <v>160923733156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"/>
      <c r="O43" s="1"/>
      <c r="P43" s="11">
        <f>SUM(LARGE(R43:T43,{1,2}))</f>
        <v>0</v>
      </c>
      <c r="Q43" s="1"/>
      <c r="R43" s="12">
        <f t="shared" si="0"/>
        <v>0</v>
      </c>
      <c r="S43" s="12">
        <f t="shared" si="1"/>
        <v>0</v>
      </c>
      <c r="T43" s="12">
        <f t="shared" si="2"/>
        <v>0</v>
      </c>
      <c r="U43" s="1"/>
      <c r="V43" s="1"/>
    </row>
    <row r="44" spans="1:22" ht="21.95" customHeight="1">
      <c r="A44" s="1"/>
      <c r="B44" s="13">
        <v>36</v>
      </c>
      <c r="C44" s="18">
        <v>160923733157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"/>
      <c r="O44" s="1"/>
      <c r="P44" s="11">
        <f>SUM(LARGE(R44:T44,{1,2}))</f>
        <v>0</v>
      </c>
      <c r="Q44" s="1"/>
      <c r="R44" s="12">
        <f t="shared" si="0"/>
        <v>0</v>
      </c>
      <c r="S44" s="12">
        <f t="shared" si="1"/>
        <v>0</v>
      </c>
      <c r="T44" s="12">
        <f t="shared" si="2"/>
        <v>0</v>
      </c>
      <c r="U44" s="1"/>
      <c r="V44" s="1"/>
    </row>
    <row r="45" spans="1:22" ht="21.95" customHeight="1">
      <c r="A45" s="1"/>
      <c r="B45" s="6">
        <v>37</v>
      </c>
      <c r="C45" s="18">
        <v>160923733158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"/>
      <c r="O45" s="1"/>
      <c r="P45" s="11">
        <f>SUM(LARGE(R45:T45,{1,2}))</f>
        <v>0</v>
      </c>
      <c r="Q45" s="1"/>
      <c r="R45" s="12">
        <f t="shared" si="0"/>
        <v>0</v>
      </c>
      <c r="S45" s="12">
        <f t="shared" si="1"/>
        <v>0</v>
      </c>
      <c r="T45" s="12">
        <f t="shared" si="2"/>
        <v>0</v>
      </c>
      <c r="U45" s="1"/>
      <c r="V45" s="1"/>
    </row>
    <row r="46" spans="1:22" ht="21.95" customHeight="1">
      <c r="A46" s="1"/>
      <c r="B46" s="13">
        <v>38</v>
      </c>
      <c r="C46" s="18">
        <v>160923733159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"/>
      <c r="O46" s="1"/>
      <c r="P46" s="11">
        <f>SUM(LARGE(R46:T46,{1,2}))</f>
        <v>0</v>
      </c>
      <c r="Q46" s="1"/>
      <c r="R46" s="12">
        <f t="shared" si="0"/>
        <v>0</v>
      </c>
      <c r="S46" s="12">
        <f t="shared" si="1"/>
        <v>0</v>
      </c>
      <c r="T46" s="12">
        <f t="shared" si="2"/>
        <v>0</v>
      </c>
      <c r="U46" s="1"/>
      <c r="V46" s="1"/>
    </row>
    <row r="47" spans="1:22" ht="21.95" customHeight="1">
      <c r="A47" s="1"/>
      <c r="B47" s="6">
        <v>39</v>
      </c>
      <c r="C47" s="18">
        <v>160923733160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"/>
      <c r="O47" s="1"/>
      <c r="P47" s="11">
        <f>SUM(LARGE(R47:T47,{1,2}))</f>
        <v>0</v>
      </c>
      <c r="Q47" s="1"/>
      <c r="R47" s="12">
        <f t="shared" si="0"/>
        <v>0</v>
      </c>
      <c r="S47" s="12">
        <f t="shared" si="1"/>
        <v>0</v>
      </c>
      <c r="T47" s="12">
        <f t="shared" si="2"/>
        <v>0</v>
      </c>
      <c r="U47" s="1"/>
      <c r="V47" s="1"/>
    </row>
    <row r="48" spans="1:22" ht="21.95" customHeight="1">
      <c r="A48" s="1"/>
      <c r="B48" s="13">
        <v>40</v>
      </c>
      <c r="C48" s="18">
        <v>160923733161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"/>
      <c r="O48" s="1"/>
      <c r="P48" s="11">
        <f>SUM(LARGE(R48:T48,{1,2}))</f>
        <v>0</v>
      </c>
      <c r="Q48" s="1"/>
      <c r="R48" s="12">
        <f t="shared" si="0"/>
        <v>0</v>
      </c>
      <c r="S48" s="12">
        <f t="shared" si="1"/>
        <v>0</v>
      </c>
      <c r="T48" s="12">
        <f t="shared" si="2"/>
        <v>0</v>
      </c>
      <c r="U48" s="1"/>
      <c r="V48" s="1"/>
    </row>
    <row r="49" spans="1:22" ht="21.95" customHeight="1">
      <c r="A49" s="1"/>
      <c r="B49" s="6">
        <v>41</v>
      </c>
      <c r="C49" s="18">
        <v>160923733162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"/>
      <c r="O49" s="1"/>
      <c r="P49" s="11">
        <f>SUM(LARGE(R49:T49,{1,2}))</f>
        <v>0</v>
      </c>
      <c r="Q49" s="1"/>
      <c r="R49" s="12">
        <f t="shared" si="0"/>
        <v>0</v>
      </c>
      <c r="S49" s="12">
        <f t="shared" si="1"/>
        <v>0</v>
      </c>
      <c r="T49" s="12">
        <f t="shared" si="2"/>
        <v>0</v>
      </c>
      <c r="U49" s="1"/>
      <c r="V49" s="1"/>
    </row>
    <row r="50" spans="1:22" ht="21.95" customHeight="1">
      <c r="A50" s="1"/>
      <c r="B50" s="13">
        <v>42</v>
      </c>
      <c r="C50" s="18">
        <v>160923733163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"/>
      <c r="O50" s="1"/>
      <c r="P50" s="11">
        <f>SUM(LARGE(R50:T50,{1,2}))</f>
        <v>0</v>
      </c>
      <c r="Q50" s="1"/>
      <c r="R50" s="12">
        <f t="shared" si="0"/>
        <v>0</v>
      </c>
      <c r="S50" s="12">
        <f t="shared" si="1"/>
        <v>0</v>
      </c>
      <c r="T50" s="12">
        <f t="shared" si="2"/>
        <v>0</v>
      </c>
      <c r="U50" s="1"/>
      <c r="V50" s="1"/>
    </row>
    <row r="51" spans="1:22" ht="21.95" customHeight="1">
      <c r="A51" s="1"/>
      <c r="B51" s="6">
        <v>43</v>
      </c>
      <c r="C51" s="18">
        <v>160923733164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"/>
      <c r="O51" s="1"/>
      <c r="P51" s="11">
        <f>SUM(LARGE(R51:T51,{1,2}))</f>
        <v>0</v>
      </c>
      <c r="Q51" s="1"/>
      <c r="R51" s="12">
        <f t="shared" si="0"/>
        <v>0</v>
      </c>
      <c r="S51" s="12">
        <f t="shared" si="1"/>
        <v>0</v>
      </c>
      <c r="T51" s="12">
        <f t="shared" si="2"/>
        <v>0</v>
      </c>
      <c r="U51" s="1"/>
      <c r="V51" s="1"/>
    </row>
    <row r="52" spans="1:22" ht="21.95" customHeight="1">
      <c r="A52" s="1"/>
      <c r="B52" s="13">
        <v>44</v>
      </c>
      <c r="C52" s="18">
        <v>160923733165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"/>
      <c r="O52" s="1"/>
      <c r="P52" s="11">
        <f>SUM(LARGE(R52:T52,{1,2}))</f>
        <v>0</v>
      </c>
      <c r="Q52" s="1"/>
      <c r="R52" s="12">
        <f t="shared" si="0"/>
        <v>0</v>
      </c>
      <c r="S52" s="12">
        <f t="shared" si="1"/>
        <v>0</v>
      </c>
      <c r="T52" s="12">
        <f t="shared" si="2"/>
        <v>0</v>
      </c>
      <c r="U52" s="1"/>
      <c r="V52" s="1"/>
    </row>
    <row r="53" spans="1:22" ht="21.95" customHeight="1">
      <c r="A53" s="1"/>
      <c r="B53" s="6">
        <v>45</v>
      </c>
      <c r="C53" s="18">
        <v>160923733166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"/>
      <c r="O53" s="1"/>
      <c r="P53" s="11">
        <f>SUM(LARGE(R53:T53,{1,2}))</f>
        <v>0</v>
      </c>
      <c r="Q53" s="1"/>
      <c r="R53" s="12">
        <f t="shared" si="0"/>
        <v>0</v>
      </c>
      <c r="S53" s="12">
        <f t="shared" si="1"/>
        <v>0</v>
      </c>
      <c r="T53" s="12">
        <f t="shared" si="2"/>
        <v>0</v>
      </c>
      <c r="U53" s="1"/>
      <c r="V53" s="1"/>
    </row>
    <row r="54" spans="1:22" ht="21.95" customHeight="1">
      <c r="A54" s="1"/>
      <c r="B54" s="13">
        <v>46</v>
      </c>
      <c r="C54" s="18">
        <v>160923733167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"/>
      <c r="O54" s="1"/>
      <c r="P54" s="11">
        <f>SUM(LARGE(R54:T54,{1,2}))</f>
        <v>0</v>
      </c>
      <c r="Q54" s="1"/>
      <c r="R54" s="12">
        <f t="shared" si="0"/>
        <v>0</v>
      </c>
      <c r="S54" s="12">
        <f t="shared" si="1"/>
        <v>0</v>
      </c>
      <c r="T54" s="12">
        <f t="shared" si="2"/>
        <v>0</v>
      </c>
      <c r="U54" s="1"/>
      <c r="V54" s="1"/>
    </row>
    <row r="55" spans="1:22" ht="21.95" customHeight="1">
      <c r="A55" s="1"/>
      <c r="B55" s="6">
        <v>47</v>
      </c>
      <c r="C55" s="18">
        <v>160923733168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"/>
      <c r="O55" s="1"/>
      <c r="P55" s="11">
        <f>SUM(LARGE(R55:T55,{1,2}))</f>
        <v>0</v>
      </c>
      <c r="Q55" s="1"/>
      <c r="R55" s="12">
        <f t="shared" si="0"/>
        <v>0</v>
      </c>
      <c r="S55" s="12">
        <f t="shared" si="1"/>
        <v>0</v>
      </c>
      <c r="T55" s="12">
        <f t="shared" si="2"/>
        <v>0</v>
      </c>
      <c r="U55" s="1"/>
      <c r="V55" s="1"/>
    </row>
    <row r="56" spans="1:22" ht="21.95" customHeight="1">
      <c r="A56" s="1"/>
      <c r="B56" s="13">
        <v>48</v>
      </c>
      <c r="C56" s="18">
        <v>160923733169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"/>
      <c r="O56" s="1"/>
      <c r="P56" s="11"/>
      <c r="Q56" s="1"/>
      <c r="R56" s="12"/>
      <c r="S56" s="12"/>
      <c r="T56" s="12"/>
      <c r="U56" s="1"/>
      <c r="V56" s="1"/>
    </row>
    <row r="57" spans="1:22" ht="21.95" customHeight="1">
      <c r="A57" s="1"/>
      <c r="B57" s="6">
        <v>49</v>
      </c>
      <c r="C57" s="18">
        <v>160923733170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"/>
      <c r="O57" s="1"/>
      <c r="P57" s="11">
        <f>SUM(LARGE(R57:T57,{1,2}))</f>
        <v>0</v>
      </c>
      <c r="Q57" s="1"/>
      <c r="R57" s="12">
        <f t="shared" si="0"/>
        <v>0</v>
      </c>
      <c r="S57" s="12">
        <f t="shared" si="1"/>
        <v>0</v>
      </c>
      <c r="T57" s="12">
        <f t="shared" si="2"/>
        <v>0</v>
      </c>
      <c r="U57" s="1"/>
      <c r="V57" s="1"/>
    </row>
    <row r="58" spans="1:22" ht="21.95" customHeight="1">
      <c r="A58" s="1"/>
      <c r="B58" s="13">
        <v>50</v>
      </c>
      <c r="C58" s="18">
        <v>160923733171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"/>
      <c r="O58" s="1"/>
      <c r="P58" s="11">
        <f>SUM(LARGE(R58:T58,{1,2}))</f>
        <v>0</v>
      </c>
      <c r="Q58" s="1"/>
      <c r="R58" s="12">
        <f t="shared" si="0"/>
        <v>0</v>
      </c>
      <c r="S58" s="12">
        <f t="shared" si="1"/>
        <v>0</v>
      </c>
      <c r="T58" s="12">
        <f t="shared" si="2"/>
        <v>0</v>
      </c>
      <c r="U58" s="1"/>
      <c r="V58" s="1"/>
    </row>
    <row r="59" spans="1:22" ht="21.95" customHeight="1">
      <c r="A59" s="1"/>
      <c r="B59" s="6">
        <v>51</v>
      </c>
      <c r="C59" s="18">
        <v>160923733172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"/>
      <c r="O59" s="1"/>
      <c r="P59" s="11"/>
      <c r="Q59" s="1"/>
      <c r="R59" s="12"/>
      <c r="S59" s="12"/>
      <c r="T59" s="12"/>
      <c r="U59" s="1"/>
      <c r="V59" s="1"/>
    </row>
    <row r="60" spans="1:22" ht="21.95" customHeight="1">
      <c r="A60" s="1"/>
      <c r="B60" s="13">
        <v>52</v>
      </c>
      <c r="C60" s="18">
        <v>160923733173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"/>
      <c r="O60" s="1"/>
      <c r="P60" s="11"/>
      <c r="Q60" s="1"/>
      <c r="R60" s="12"/>
      <c r="S60" s="12"/>
      <c r="T60" s="12"/>
      <c r="U60" s="1"/>
      <c r="V60" s="1"/>
    </row>
    <row r="61" spans="1:22" ht="21.95" customHeight="1">
      <c r="A61" s="1"/>
      <c r="B61" s="6">
        <v>53</v>
      </c>
      <c r="C61" s="18">
        <v>160923733174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"/>
      <c r="O61" s="1"/>
      <c r="P61" s="11"/>
      <c r="Q61" s="1"/>
      <c r="R61" s="12"/>
      <c r="S61" s="12"/>
      <c r="T61" s="12"/>
      <c r="U61" s="1"/>
      <c r="V61" s="1"/>
    </row>
    <row r="62" spans="1:22" ht="21.95" customHeight="1">
      <c r="A62" s="1"/>
      <c r="B62" s="13">
        <v>54</v>
      </c>
      <c r="C62" s="18">
        <v>160923733175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"/>
      <c r="O62" s="1"/>
      <c r="P62" s="11"/>
      <c r="Q62" s="1"/>
      <c r="R62" s="12"/>
      <c r="S62" s="12"/>
      <c r="T62" s="12"/>
      <c r="U62" s="1"/>
      <c r="V62" s="1"/>
    </row>
    <row r="63" spans="1:22" ht="21.95" customHeight="1">
      <c r="A63" s="1"/>
      <c r="B63" s="6">
        <v>55</v>
      </c>
      <c r="C63" s="18">
        <v>160923733176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"/>
      <c r="O63" s="1"/>
      <c r="P63" s="11"/>
      <c r="Q63" s="1"/>
      <c r="R63" s="12"/>
      <c r="S63" s="12"/>
      <c r="T63" s="12"/>
      <c r="U63" s="1"/>
      <c r="V63" s="1"/>
    </row>
    <row r="64" spans="1:22" ht="21.95" customHeight="1">
      <c r="A64" s="1"/>
      <c r="B64" s="13">
        <v>56</v>
      </c>
      <c r="C64" s="18">
        <v>160923733178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"/>
      <c r="O64" s="1"/>
      <c r="P64" s="11"/>
      <c r="Q64" s="1"/>
      <c r="R64" s="12"/>
      <c r="S64" s="12"/>
      <c r="T64" s="12"/>
      <c r="U64" s="1"/>
      <c r="V64" s="1"/>
    </row>
    <row r="65" spans="1:22" ht="21.95" customHeight="1">
      <c r="A65" s="1"/>
      <c r="B65" s="6">
        <v>57</v>
      </c>
      <c r="C65" s="18">
        <v>160923733179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"/>
      <c r="O65" s="1"/>
      <c r="P65" s="11"/>
      <c r="Q65" s="1"/>
      <c r="R65" s="12"/>
      <c r="S65" s="12"/>
      <c r="T65" s="12"/>
      <c r="U65" s="1"/>
      <c r="V65" s="1"/>
    </row>
    <row r="66" spans="1:22" ht="21.95" customHeight="1">
      <c r="A66" s="1"/>
      <c r="B66" s="13">
        <v>58</v>
      </c>
      <c r="C66" s="18">
        <v>160923733180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"/>
      <c r="O66" s="1"/>
      <c r="P66" s="11"/>
      <c r="Q66" s="1"/>
      <c r="R66" s="12"/>
      <c r="S66" s="12"/>
      <c r="T66" s="12"/>
      <c r="U66" s="1"/>
      <c r="V66" s="1"/>
    </row>
    <row r="67" spans="1:22" ht="21.95" customHeight="1">
      <c r="A67" s="1"/>
      <c r="B67" s="6">
        <v>59</v>
      </c>
      <c r="C67" s="18">
        <v>160923733313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"/>
      <c r="O67" s="1"/>
      <c r="P67" s="11"/>
      <c r="Q67" s="1"/>
      <c r="R67" s="12"/>
      <c r="S67" s="12"/>
      <c r="T67" s="12"/>
      <c r="U67" s="1"/>
      <c r="V67" s="1"/>
    </row>
    <row r="68" spans="1:22" ht="21.95" customHeight="1">
      <c r="A68" s="1"/>
      <c r="B68" s="13">
        <v>60</v>
      </c>
      <c r="C68" s="18">
        <v>160923733314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"/>
      <c r="O68" s="1"/>
      <c r="P68" s="11"/>
      <c r="Q68" s="1"/>
      <c r="R68" s="12"/>
      <c r="S68" s="12"/>
      <c r="T68" s="12"/>
      <c r="U68" s="1"/>
      <c r="V68" s="1"/>
    </row>
    <row r="69" spans="1:22" ht="21.95" customHeight="1">
      <c r="A69" s="1"/>
      <c r="B69" s="6">
        <v>61</v>
      </c>
      <c r="C69" s="18">
        <v>160923733315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"/>
      <c r="O69" s="1"/>
      <c r="P69" s="11"/>
      <c r="Q69" s="1"/>
      <c r="R69" s="12"/>
      <c r="S69" s="12"/>
      <c r="T69" s="12"/>
      <c r="U69" s="1"/>
      <c r="V69" s="1"/>
    </row>
    <row r="70" spans="1:22" ht="21.95" customHeight="1">
      <c r="A70" s="1"/>
      <c r="B70" s="13">
        <v>62</v>
      </c>
      <c r="C70" s="18">
        <v>160923733316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"/>
      <c r="O70" s="1"/>
      <c r="P70" s="11"/>
      <c r="Q70" s="1"/>
      <c r="R70" s="12"/>
      <c r="S70" s="12"/>
      <c r="T70" s="12"/>
      <c r="U70" s="1"/>
      <c r="V70" s="1"/>
    </row>
    <row r="71" spans="1:22" ht="21.95" customHeight="1">
      <c r="A71" s="1"/>
      <c r="B71" s="6">
        <v>63</v>
      </c>
      <c r="C71" s="18">
        <v>160923733317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"/>
      <c r="O71" s="1"/>
      <c r="P71" s="11"/>
      <c r="Q71" s="1"/>
      <c r="R71" s="12"/>
      <c r="S71" s="12"/>
      <c r="T71" s="12"/>
      <c r="U71" s="1"/>
      <c r="V71" s="1"/>
    </row>
    <row r="72" spans="1:22" ht="21.95" customHeight="1">
      <c r="A72" s="1"/>
      <c r="B72" s="13">
        <v>64</v>
      </c>
      <c r="C72" s="18">
        <v>160923733318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"/>
      <c r="O72" s="1"/>
      <c r="P72" s="11"/>
      <c r="Q72" s="1"/>
      <c r="R72" s="12"/>
      <c r="S72" s="12"/>
      <c r="T72" s="12"/>
      <c r="U72" s="1"/>
      <c r="V72" s="1"/>
    </row>
    <row r="73" spans="1:22" ht="15.75" customHeight="1">
      <c r="A73" s="1"/>
      <c r="B73" s="22" t="s">
        <v>16</v>
      </c>
      <c r="C73" s="22"/>
      <c r="D73" s="23" t="s">
        <v>17</v>
      </c>
      <c r="E73" s="24"/>
      <c r="F73" s="24"/>
      <c r="G73" s="24"/>
      <c r="H73" s="24"/>
      <c r="I73" s="25"/>
      <c r="J73" s="26" t="s">
        <v>18</v>
      </c>
      <c r="K73" s="26"/>
      <c r="L73" s="26"/>
      <c r="M73" s="26"/>
      <c r="N73" s="1"/>
      <c r="O73" s="1"/>
      <c r="P73" s="11">
        <f>SUM(LARGE(R73:T73,{1,2}))</f>
        <v>0</v>
      </c>
      <c r="Q73" s="1"/>
      <c r="R73" s="12">
        <f t="shared" si="0"/>
        <v>0</v>
      </c>
      <c r="S73" s="12">
        <f t="shared" si="1"/>
        <v>0</v>
      </c>
      <c r="T73" s="12">
        <f t="shared" si="2"/>
        <v>0</v>
      </c>
      <c r="U73" s="1"/>
      <c r="V73" s="1"/>
    </row>
    <row r="74" spans="1:22" ht="30" customHeight="1">
      <c r="A74" s="1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1"/>
      <c r="O74" s="1"/>
      <c r="P74" s="11">
        <f>SUM(LARGE(R74:T74,{1,2}))</f>
        <v>0</v>
      </c>
      <c r="Q74" s="1"/>
      <c r="R74" s="12">
        <f t="shared" si="0"/>
        <v>0</v>
      </c>
      <c r="S74" s="12">
        <f t="shared" si="1"/>
        <v>0</v>
      </c>
      <c r="T74" s="12">
        <f t="shared" si="2"/>
        <v>0</v>
      </c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1">
        <f>SUM(LARGE(R75:T75,{1,2}))</f>
        <v>0</v>
      </c>
      <c r="Q75" s="1"/>
      <c r="R75" s="12">
        <f t="shared" si="0"/>
        <v>0</v>
      </c>
      <c r="S75" s="12">
        <f t="shared" si="1"/>
        <v>0</v>
      </c>
      <c r="T75" s="12">
        <f t="shared" si="2"/>
        <v>0</v>
      </c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1">
        <f>SUM(LARGE(R76:T76,{1,2}))</f>
        <v>0</v>
      </c>
      <c r="Q76" s="1"/>
      <c r="R76" s="12">
        <f t="shared" si="0"/>
        <v>0</v>
      </c>
      <c r="S76" s="12">
        <f t="shared" si="1"/>
        <v>0</v>
      </c>
      <c r="T76" s="12">
        <f t="shared" si="2"/>
        <v>0</v>
      </c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1">
        <f>SUM(LARGE(R77:T77,{1,2}))</f>
        <v>0</v>
      </c>
      <c r="Q77" s="1"/>
      <c r="R77" s="12">
        <f t="shared" si="0"/>
        <v>0</v>
      </c>
      <c r="S77" s="12">
        <f t="shared" si="1"/>
        <v>0</v>
      </c>
      <c r="T77" s="12">
        <f t="shared" si="2"/>
        <v>0</v>
      </c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1">
        <f>SUM(LARGE(R78:T78,{1,2}))</f>
        <v>0</v>
      </c>
      <c r="Q78" s="1"/>
      <c r="R78" s="12">
        <f t="shared" si="0"/>
        <v>0</v>
      </c>
      <c r="S78" s="12">
        <f t="shared" si="1"/>
        <v>0</v>
      </c>
      <c r="T78" s="12">
        <f t="shared" si="2"/>
        <v>0</v>
      </c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1">
        <f>SUM(LARGE(R79:T79,{1,2}))</f>
        <v>0</v>
      </c>
      <c r="Q79" s="1"/>
      <c r="R79" s="12">
        <f t="shared" si="0"/>
        <v>0</v>
      </c>
      <c r="S79" s="12">
        <f t="shared" si="1"/>
        <v>0</v>
      </c>
      <c r="T79" s="12">
        <f t="shared" si="2"/>
        <v>0</v>
      </c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1">
        <f>SUM(LARGE(R80:T80,{1,2}))</f>
        <v>0</v>
      </c>
      <c r="Q80" s="1"/>
      <c r="R80" s="12">
        <f t="shared" si="0"/>
        <v>0</v>
      </c>
      <c r="S80" s="12">
        <f t="shared" si="1"/>
        <v>0</v>
      </c>
      <c r="T80" s="12">
        <f t="shared" si="2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1">
        <f>SUM(LARGE(R81:T81,{1,2}))</f>
        <v>0</v>
      </c>
      <c r="Q81" s="1"/>
      <c r="R81" s="12">
        <f t="shared" si="0"/>
        <v>0</v>
      </c>
      <c r="S81" s="12">
        <f t="shared" si="1"/>
        <v>0</v>
      </c>
      <c r="T81" s="12">
        <f t="shared" si="2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1">
        <f>SUM(LARGE(R82:T82,{1,2}))</f>
        <v>0</v>
      </c>
      <c r="Q82" s="1"/>
      <c r="R82" s="12">
        <f t="shared" si="0"/>
        <v>0</v>
      </c>
      <c r="S82" s="12">
        <f t="shared" si="1"/>
        <v>0</v>
      </c>
      <c r="T82" s="12">
        <f t="shared" si="2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1">
        <f>SUM(LARGE(R83:T83,{1,2}))</f>
        <v>0</v>
      </c>
      <c r="Q83" s="1"/>
      <c r="R83" s="12">
        <f t="shared" si="0"/>
        <v>0</v>
      </c>
      <c r="S83" s="12">
        <f t="shared" si="1"/>
        <v>0</v>
      </c>
      <c r="T83" s="12">
        <f t="shared" si="2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1">
        <f>SUM(LARGE(R84:T84,{1,2}))</f>
        <v>0</v>
      </c>
      <c r="Q84" s="1"/>
      <c r="R84" s="12">
        <f t="shared" si="0"/>
        <v>0</v>
      </c>
      <c r="S84" s="12">
        <f t="shared" si="1"/>
        <v>0</v>
      </c>
      <c r="T84" s="12">
        <f t="shared" si="2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1">
        <f>SUM(LARGE(R85:T85,{1,2}))</f>
        <v>0</v>
      </c>
      <c r="Q85" s="1"/>
      <c r="R85" s="12">
        <f t="shared" si="0"/>
        <v>0</v>
      </c>
      <c r="S85" s="12">
        <f t="shared" si="1"/>
        <v>0</v>
      </c>
      <c r="T85" s="12">
        <f t="shared" si="2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/>
    <row r="240" spans="1:2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73:C73"/>
    <mergeCell ref="D73:I73"/>
    <mergeCell ref="J73:M73"/>
    <mergeCell ref="B74:C74"/>
    <mergeCell ref="D74:I74"/>
    <mergeCell ref="J74:M74"/>
    <mergeCell ref="B7:B8"/>
    <mergeCell ref="C7:C8"/>
    <mergeCell ref="D7:F7"/>
    <mergeCell ref="G7:H7"/>
    <mergeCell ref="I7:J7"/>
    <mergeCell ref="K7:L7"/>
  </mergeCells>
  <pageMargins left="0.70866141732283472" right="0.70866141732283472" top="0.56000000000000005" bottom="0.74803149606299213" header="0.31496062992125984" footer="0.31496062992125984"/>
  <pageSetup paperSize="9" scale="8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W980"/>
  <sheetViews>
    <sheetView topLeftCell="A57" workbookViewId="0">
      <selection activeCell="W9" sqref="W9:W72"/>
    </sheetView>
  </sheetViews>
  <sheetFormatPr defaultColWidth="14.42578125" defaultRowHeight="15"/>
  <cols>
    <col min="1" max="1" width="0.85546875" style="2" customWidth="1"/>
    <col min="2" max="2" width="5.5703125" style="2" bestFit="1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23" width="35.42578125" style="2" customWidth="1"/>
    <col min="24" max="16384" width="14.42578125" style="2"/>
  </cols>
  <sheetData>
    <row r="1" spans="1:23" ht="21" customHeight="1">
      <c r="A1" s="1"/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1"/>
      <c r="O1" s="1"/>
      <c r="P1" s="1"/>
      <c r="Q1" s="1"/>
      <c r="R1" s="1"/>
      <c r="S1" s="1"/>
      <c r="T1" s="1"/>
      <c r="U1" s="1"/>
      <c r="V1" s="1"/>
    </row>
    <row r="2" spans="1:23" ht="15.75" customHeight="1">
      <c r="A2" s="1"/>
      <c r="B2" s="37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1"/>
      <c r="O2" s="1"/>
      <c r="P2" s="1"/>
      <c r="Q2" s="1"/>
      <c r="R2" s="1"/>
      <c r="S2" s="1"/>
      <c r="T2" s="1"/>
      <c r="U2" s="1"/>
      <c r="V2" s="1"/>
    </row>
    <row r="3" spans="1:23">
      <c r="A3" s="1"/>
      <c r="B3" s="39" t="s">
        <v>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1"/>
      <c r="O3" s="1"/>
      <c r="P3" s="1"/>
      <c r="Q3" s="1"/>
      <c r="R3" s="1"/>
      <c r="S3" s="1"/>
      <c r="T3" s="1"/>
      <c r="U3" s="1"/>
      <c r="V3" s="1"/>
    </row>
    <row r="4" spans="1:23" ht="16.5" customHeight="1">
      <c r="A4" s="1"/>
      <c r="B4" s="40" t="s">
        <v>25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  <c r="N4" s="1"/>
      <c r="O4" s="1"/>
      <c r="P4" s="1"/>
      <c r="Q4" s="1"/>
      <c r="R4" s="1"/>
      <c r="S4" s="1"/>
      <c r="T4" s="1"/>
      <c r="U4" s="1"/>
      <c r="V4" s="1"/>
    </row>
    <row r="5" spans="1:23" ht="18.75">
      <c r="A5" s="1"/>
      <c r="B5" s="43" t="s">
        <v>24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  <c r="N5" s="1"/>
      <c r="O5" s="1"/>
      <c r="P5" s="1"/>
      <c r="Q5" s="1"/>
      <c r="R5" s="1"/>
      <c r="S5" s="1"/>
      <c r="T5" s="1"/>
      <c r="U5" s="1"/>
      <c r="V5" s="1"/>
    </row>
    <row r="6" spans="1:23" ht="22.5">
      <c r="A6" s="1"/>
      <c r="B6" s="31" t="s">
        <v>3</v>
      </c>
      <c r="C6" s="32"/>
      <c r="D6" s="31" t="s">
        <v>19</v>
      </c>
      <c r="E6" s="33"/>
      <c r="F6" s="33"/>
      <c r="G6" s="33"/>
      <c r="H6" s="33"/>
      <c r="I6" s="33"/>
      <c r="J6" s="33"/>
      <c r="K6" s="3" t="s">
        <v>4</v>
      </c>
      <c r="L6" s="34" t="s">
        <v>26</v>
      </c>
      <c r="M6" s="34"/>
      <c r="N6" s="1"/>
      <c r="O6" s="1"/>
      <c r="P6" s="1"/>
      <c r="Q6" s="1"/>
      <c r="R6" s="1"/>
      <c r="S6" s="1"/>
      <c r="T6" s="1"/>
      <c r="U6" s="1"/>
      <c r="V6" s="1"/>
    </row>
    <row r="7" spans="1:23">
      <c r="A7" s="1"/>
      <c r="B7" s="21" t="s">
        <v>5</v>
      </c>
      <c r="C7" s="28" t="s">
        <v>6</v>
      </c>
      <c r="D7" s="29" t="s">
        <v>7</v>
      </c>
      <c r="E7" s="30"/>
      <c r="F7" s="30"/>
      <c r="G7" s="29" t="s">
        <v>8</v>
      </c>
      <c r="H7" s="30"/>
      <c r="I7" s="29" t="s">
        <v>9</v>
      </c>
      <c r="J7" s="30"/>
      <c r="K7" s="29" t="s">
        <v>10</v>
      </c>
      <c r="L7" s="30"/>
      <c r="M7" s="20" t="s">
        <v>11</v>
      </c>
      <c r="N7" s="4" t="s">
        <v>12</v>
      </c>
      <c r="O7" s="1"/>
      <c r="P7" s="1"/>
      <c r="Q7" s="1"/>
      <c r="R7" s="1"/>
      <c r="S7" s="1"/>
      <c r="T7" s="1"/>
      <c r="U7" s="1"/>
      <c r="V7" s="1"/>
    </row>
    <row r="8" spans="1:23">
      <c r="A8" s="1"/>
      <c r="B8" s="21"/>
      <c r="C8" s="28"/>
      <c r="D8" s="5" t="s">
        <v>13</v>
      </c>
      <c r="E8" s="5" t="s">
        <v>14</v>
      </c>
      <c r="F8" s="5" t="s">
        <v>15</v>
      </c>
      <c r="G8" s="5" t="s">
        <v>13</v>
      </c>
      <c r="H8" s="5" t="s">
        <v>14</v>
      </c>
      <c r="I8" s="5" t="s">
        <v>13</v>
      </c>
      <c r="J8" s="5" t="s">
        <v>14</v>
      </c>
      <c r="K8" s="5" t="s">
        <v>13</v>
      </c>
      <c r="L8" s="5" t="s">
        <v>14</v>
      </c>
      <c r="M8" s="21"/>
      <c r="N8" s="4"/>
      <c r="O8" s="1"/>
      <c r="P8" s="1"/>
      <c r="Q8" s="1"/>
      <c r="R8" s="1"/>
      <c r="S8" s="1"/>
      <c r="T8" s="1"/>
      <c r="U8" s="1"/>
      <c r="V8" s="1"/>
    </row>
    <row r="9" spans="1:23" ht="21.95" customHeight="1">
      <c r="A9" s="1"/>
      <c r="B9" s="6">
        <v>1</v>
      </c>
      <c r="C9" s="18">
        <v>160923733121</v>
      </c>
      <c r="D9" s="7" t="s">
        <v>31</v>
      </c>
      <c r="E9" s="7" t="s">
        <v>31</v>
      </c>
      <c r="F9" s="7" t="s">
        <v>31</v>
      </c>
      <c r="G9" s="7" t="s">
        <v>31</v>
      </c>
      <c r="H9" s="7" t="s">
        <v>31</v>
      </c>
      <c r="I9" s="7" t="s">
        <v>31</v>
      </c>
      <c r="J9" s="7" t="s">
        <v>31</v>
      </c>
      <c r="K9" s="7" t="s">
        <v>31</v>
      </c>
      <c r="L9" s="7" t="s">
        <v>31</v>
      </c>
      <c r="M9" s="7" t="s">
        <v>31</v>
      </c>
      <c r="N9" s="10" t="str">
        <f>IF(M9&lt;8,"F","P")</f>
        <v>P</v>
      </c>
      <c r="O9" s="1"/>
      <c r="P9" s="11">
        <f>SUM(LARGE(R9:T9,{1,2}))</f>
        <v>0</v>
      </c>
      <c r="Q9" s="1"/>
      <c r="R9" s="12">
        <f t="shared" ref="R9:R85" si="0">SUM(G9:H9)</f>
        <v>0</v>
      </c>
      <c r="S9" s="12">
        <f t="shared" ref="S9:S85" si="1">SUM(I9:J9)</f>
        <v>0</v>
      </c>
      <c r="T9" s="12">
        <f t="shared" ref="T9:T85" si="2">SUM(K9:L9)</f>
        <v>0</v>
      </c>
      <c r="U9" s="1"/>
      <c r="V9" s="1"/>
      <c r="W9" s="48" t="s">
        <v>33</v>
      </c>
    </row>
    <row r="10" spans="1:23" ht="21.95" customHeight="1">
      <c r="A10" s="1"/>
      <c r="B10" s="13">
        <v>2</v>
      </c>
      <c r="C10" s="18">
        <v>160923733122</v>
      </c>
      <c r="D10" s="7">
        <v>2</v>
      </c>
      <c r="E10" s="8">
        <v>2</v>
      </c>
      <c r="F10" s="8">
        <v>2</v>
      </c>
      <c r="G10" s="8">
        <v>7</v>
      </c>
      <c r="H10" s="8"/>
      <c r="I10" s="8">
        <v>3</v>
      </c>
      <c r="J10" s="8">
        <v>4</v>
      </c>
      <c r="K10" s="8"/>
      <c r="L10" s="8"/>
      <c r="M10" s="9">
        <f>SUM(D10:L10)</f>
        <v>20</v>
      </c>
      <c r="N10" s="10" t="str">
        <f t="shared" ref="N10:N38" si="3">IF(M10&lt;8,"F","P")</f>
        <v>P</v>
      </c>
      <c r="O10" s="1"/>
      <c r="P10" s="11">
        <f>SUM(LARGE(R10:T10,{1,2}))</f>
        <v>14</v>
      </c>
      <c r="Q10" s="1"/>
      <c r="R10" s="12">
        <f t="shared" si="0"/>
        <v>7</v>
      </c>
      <c r="S10" s="12">
        <f t="shared" si="1"/>
        <v>7</v>
      </c>
      <c r="T10" s="12">
        <f t="shared" si="2"/>
        <v>0</v>
      </c>
      <c r="U10" s="1"/>
      <c r="V10" s="1"/>
      <c r="W10" s="48" t="s">
        <v>34</v>
      </c>
    </row>
    <row r="11" spans="1:23" ht="21.95" customHeight="1">
      <c r="A11" s="1"/>
      <c r="B11" s="6">
        <v>3</v>
      </c>
      <c r="C11" s="18">
        <v>160923733123</v>
      </c>
      <c r="D11" s="7">
        <v>2</v>
      </c>
      <c r="E11" s="8">
        <v>2</v>
      </c>
      <c r="F11" s="8">
        <v>2</v>
      </c>
      <c r="G11" s="8">
        <v>7</v>
      </c>
      <c r="H11" s="8"/>
      <c r="I11" s="8">
        <v>3</v>
      </c>
      <c r="J11" s="8">
        <v>3</v>
      </c>
      <c r="K11" s="8"/>
      <c r="L11" s="8"/>
      <c r="M11" s="9">
        <f t="shared" ref="M11:M72" si="4">SUM(D11:L11)</f>
        <v>19</v>
      </c>
      <c r="N11" s="10" t="str">
        <f t="shared" si="3"/>
        <v>P</v>
      </c>
      <c r="O11" s="1"/>
      <c r="P11" s="11">
        <f>SUM(LARGE(R11:T11,{1,2}))</f>
        <v>13</v>
      </c>
      <c r="Q11" s="1"/>
      <c r="R11" s="12">
        <f t="shared" si="0"/>
        <v>7</v>
      </c>
      <c r="S11" s="12">
        <f t="shared" si="1"/>
        <v>6</v>
      </c>
      <c r="T11" s="12">
        <f t="shared" si="2"/>
        <v>0</v>
      </c>
      <c r="U11" s="1"/>
      <c r="V11" s="1"/>
      <c r="W11" s="48" t="s">
        <v>35</v>
      </c>
    </row>
    <row r="12" spans="1:23" ht="21.95" customHeight="1">
      <c r="A12" s="1"/>
      <c r="B12" s="13">
        <v>4</v>
      </c>
      <c r="C12" s="18">
        <v>160923733124</v>
      </c>
      <c r="D12" s="7">
        <v>2</v>
      </c>
      <c r="E12" s="8">
        <v>1</v>
      </c>
      <c r="F12" s="8">
        <v>2</v>
      </c>
      <c r="G12" s="8">
        <v>5</v>
      </c>
      <c r="H12" s="8"/>
      <c r="I12" s="8"/>
      <c r="J12" s="8"/>
      <c r="K12" s="8">
        <v>7</v>
      </c>
      <c r="L12" s="8"/>
      <c r="M12" s="9">
        <f t="shared" si="4"/>
        <v>17</v>
      </c>
      <c r="N12" s="10" t="str">
        <f t="shared" si="3"/>
        <v>P</v>
      </c>
      <c r="O12" s="1"/>
      <c r="P12" s="11">
        <f>SUM(LARGE(R12:T12,{1,2}))</f>
        <v>12</v>
      </c>
      <c r="Q12" s="1"/>
      <c r="R12" s="12">
        <f t="shared" si="0"/>
        <v>5</v>
      </c>
      <c r="S12" s="12">
        <f t="shared" si="1"/>
        <v>0</v>
      </c>
      <c r="T12" s="12">
        <f t="shared" si="2"/>
        <v>7</v>
      </c>
      <c r="U12" s="1"/>
      <c r="V12" s="1"/>
      <c r="W12" s="48" t="s">
        <v>36</v>
      </c>
    </row>
    <row r="13" spans="1:23" ht="21.95" customHeight="1">
      <c r="A13" s="1"/>
      <c r="B13" s="6">
        <v>5</v>
      </c>
      <c r="C13" s="18">
        <v>160923733125</v>
      </c>
      <c r="D13" s="7">
        <v>2</v>
      </c>
      <c r="E13" s="8">
        <v>2</v>
      </c>
      <c r="F13" s="8">
        <v>2</v>
      </c>
      <c r="G13" s="8">
        <v>5</v>
      </c>
      <c r="H13" s="8"/>
      <c r="I13" s="8">
        <v>4</v>
      </c>
      <c r="J13" s="8">
        <v>2</v>
      </c>
      <c r="K13" s="8"/>
      <c r="L13" s="8"/>
      <c r="M13" s="9">
        <f t="shared" si="4"/>
        <v>17</v>
      </c>
      <c r="N13" s="10" t="str">
        <f t="shared" si="3"/>
        <v>P</v>
      </c>
      <c r="O13" s="1"/>
      <c r="P13" s="11">
        <f>SUM(LARGE(R13:T13,{1,2}))</f>
        <v>11</v>
      </c>
      <c r="Q13" s="1"/>
      <c r="R13" s="12">
        <f t="shared" si="0"/>
        <v>5</v>
      </c>
      <c r="S13" s="12">
        <f t="shared" si="1"/>
        <v>6</v>
      </c>
      <c r="T13" s="12">
        <f t="shared" si="2"/>
        <v>0</v>
      </c>
      <c r="U13" s="1"/>
      <c r="V13" s="1"/>
      <c r="W13" s="48" t="s">
        <v>37</v>
      </c>
    </row>
    <row r="14" spans="1:23" ht="21.95" customHeight="1">
      <c r="A14" s="1"/>
      <c r="B14" s="13">
        <v>6</v>
      </c>
      <c r="C14" s="18">
        <v>160923733126</v>
      </c>
      <c r="D14" s="7" t="s">
        <v>31</v>
      </c>
      <c r="E14" s="7" t="s">
        <v>31</v>
      </c>
      <c r="F14" s="7" t="s">
        <v>31</v>
      </c>
      <c r="G14" s="7" t="s">
        <v>31</v>
      </c>
      <c r="H14" s="7" t="s">
        <v>31</v>
      </c>
      <c r="I14" s="7" t="s">
        <v>31</v>
      </c>
      <c r="J14" s="7" t="s">
        <v>31</v>
      </c>
      <c r="K14" s="7" t="s">
        <v>31</v>
      </c>
      <c r="L14" s="7" t="s">
        <v>31</v>
      </c>
      <c r="M14" s="7" t="s">
        <v>31</v>
      </c>
      <c r="N14" s="10" t="str">
        <f t="shared" si="3"/>
        <v>P</v>
      </c>
      <c r="O14" s="1"/>
      <c r="P14" s="11">
        <f>SUM(LARGE(R14:T14,{1,2}))</f>
        <v>0</v>
      </c>
      <c r="Q14" s="1"/>
      <c r="R14" s="12">
        <f t="shared" si="0"/>
        <v>0</v>
      </c>
      <c r="S14" s="12">
        <f t="shared" si="1"/>
        <v>0</v>
      </c>
      <c r="T14" s="12">
        <f t="shared" si="2"/>
        <v>0</v>
      </c>
      <c r="U14" s="1"/>
      <c r="V14" s="1"/>
      <c r="W14" s="48" t="s">
        <v>38</v>
      </c>
    </row>
    <row r="15" spans="1:23" ht="21.95" customHeight="1">
      <c r="A15" s="1"/>
      <c r="B15" s="6">
        <v>7</v>
      </c>
      <c r="C15" s="18">
        <v>160923733127</v>
      </c>
      <c r="D15" s="7">
        <v>2</v>
      </c>
      <c r="E15" s="8"/>
      <c r="F15" s="8"/>
      <c r="G15" s="8">
        <v>4</v>
      </c>
      <c r="H15" s="8"/>
      <c r="I15" s="8"/>
      <c r="J15" s="8"/>
      <c r="K15" s="8">
        <v>2</v>
      </c>
      <c r="L15" s="8"/>
      <c r="M15" s="9">
        <f t="shared" si="4"/>
        <v>8</v>
      </c>
      <c r="N15" s="10" t="str">
        <f t="shared" si="3"/>
        <v>P</v>
      </c>
      <c r="O15" s="1"/>
      <c r="P15" s="11">
        <f>SUM(LARGE(R15:T15,{1,2}))</f>
        <v>6</v>
      </c>
      <c r="Q15" s="1"/>
      <c r="R15" s="12">
        <f t="shared" si="0"/>
        <v>4</v>
      </c>
      <c r="S15" s="12">
        <f t="shared" si="1"/>
        <v>0</v>
      </c>
      <c r="T15" s="12">
        <f t="shared" si="2"/>
        <v>2</v>
      </c>
      <c r="U15" s="1"/>
      <c r="V15" s="1"/>
      <c r="W15" s="48" t="s">
        <v>39</v>
      </c>
    </row>
    <row r="16" spans="1:23" ht="21.95" customHeight="1">
      <c r="A16" s="1"/>
      <c r="B16" s="13">
        <v>8</v>
      </c>
      <c r="C16" s="18">
        <v>160923733129</v>
      </c>
      <c r="D16" s="7">
        <v>2</v>
      </c>
      <c r="E16" s="8">
        <v>2</v>
      </c>
      <c r="F16" s="8">
        <v>2</v>
      </c>
      <c r="G16" s="8">
        <v>7</v>
      </c>
      <c r="H16" s="8"/>
      <c r="I16" s="8"/>
      <c r="J16" s="8"/>
      <c r="K16" s="8">
        <v>5</v>
      </c>
      <c r="L16" s="8"/>
      <c r="M16" s="9">
        <f t="shared" si="4"/>
        <v>18</v>
      </c>
      <c r="N16" s="10" t="str">
        <f t="shared" si="3"/>
        <v>P</v>
      </c>
      <c r="O16" s="1"/>
      <c r="P16" s="11">
        <f>SUM(LARGE(R16:T16,{1,2}))</f>
        <v>12</v>
      </c>
      <c r="Q16" s="1"/>
      <c r="R16" s="12">
        <f t="shared" si="0"/>
        <v>7</v>
      </c>
      <c r="S16" s="12">
        <f t="shared" si="1"/>
        <v>0</v>
      </c>
      <c r="T16" s="12">
        <f t="shared" si="2"/>
        <v>5</v>
      </c>
      <c r="U16" s="1"/>
      <c r="V16" s="1"/>
      <c r="W16" s="48" t="s">
        <v>40</v>
      </c>
    </row>
    <row r="17" spans="1:23" ht="21.95" customHeight="1">
      <c r="A17" s="1"/>
      <c r="B17" s="6">
        <v>9</v>
      </c>
      <c r="C17" s="18">
        <v>160923733130</v>
      </c>
      <c r="D17" s="7" t="s">
        <v>31</v>
      </c>
      <c r="E17" s="7" t="s">
        <v>31</v>
      </c>
      <c r="F17" s="7" t="s">
        <v>31</v>
      </c>
      <c r="G17" s="7" t="s">
        <v>31</v>
      </c>
      <c r="H17" s="7" t="s">
        <v>31</v>
      </c>
      <c r="I17" s="7" t="s">
        <v>31</v>
      </c>
      <c r="J17" s="7" t="s">
        <v>31</v>
      </c>
      <c r="K17" s="7" t="s">
        <v>31</v>
      </c>
      <c r="L17" s="7" t="s">
        <v>31</v>
      </c>
      <c r="M17" s="7" t="s">
        <v>31</v>
      </c>
      <c r="N17" s="10" t="str">
        <f t="shared" si="3"/>
        <v>P</v>
      </c>
      <c r="O17" s="1"/>
      <c r="P17" s="11">
        <f>SUM(LARGE(R17:T17,{1,2}))</f>
        <v>0</v>
      </c>
      <c r="Q17" s="1"/>
      <c r="R17" s="12">
        <f t="shared" si="0"/>
        <v>0</v>
      </c>
      <c r="S17" s="12">
        <f t="shared" si="1"/>
        <v>0</v>
      </c>
      <c r="T17" s="12">
        <f t="shared" si="2"/>
        <v>0</v>
      </c>
      <c r="U17" s="1"/>
      <c r="V17" s="1"/>
      <c r="W17" s="48" t="s">
        <v>41</v>
      </c>
    </row>
    <row r="18" spans="1:23" ht="21.95" customHeight="1">
      <c r="A18" s="1"/>
      <c r="B18" s="13">
        <v>10</v>
      </c>
      <c r="C18" s="18">
        <v>160923733131</v>
      </c>
      <c r="D18" s="7" t="s">
        <v>31</v>
      </c>
      <c r="E18" s="7" t="s">
        <v>31</v>
      </c>
      <c r="F18" s="7" t="s">
        <v>31</v>
      </c>
      <c r="G18" s="7" t="s">
        <v>31</v>
      </c>
      <c r="H18" s="7" t="s">
        <v>31</v>
      </c>
      <c r="I18" s="7" t="s">
        <v>31</v>
      </c>
      <c r="J18" s="7" t="s">
        <v>31</v>
      </c>
      <c r="K18" s="7" t="s">
        <v>31</v>
      </c>
      <c r="L18" s="7" t="s">
        <v>31</v>
      </c>
      <c r="M18" s="7" t="s">
        <v>31</v>
      </c>
      <c r="N18" s="10" t="str">
        <f t="shared" si="3"/>
        <v>P</v>
      </c>
      <c r="O18" s="1"/>
      <c r="P18" s="11">
        <f>SUM(LARGE(R18:T18,{1,2}))</f>
        <v>0</v>
      </c>
      <c r="Q18" s="1"/>
      <c r="R18" s="12">
        <f t="shared" si="0"/>
        <v>0</v>
      </c>
      <c r="S18" s="12">
        <f t="shared" si="1"/>
        <v>0</v>
      </c>
      <c r="T18" s="12">
        <f t="shared" si="2"/>
        <v>0</v>
      </c>
      <c r="U18" s="1"/>
      <c r="V18" s="1"/>
      <c r="W18" s="48" t="s">
        <v>42</v>
      </c>
    </row>
    <row r="19" spans="1:23" ht="21.95" customHeight="1">
      <c r="A19" s="1"/>
      <c r="B19" s="6">
        <v>11</v>
      </c>
      <c r="C19" s="18">
        <v>160923733132</v>
      </c>
      <c r="D19" s="7">
        <v>2</v>
      </c>
      <c r="E19" s="8"/>
      <c r="F19" s="8">
        <v>0</v>
      </c>
      <c r="G19" s="8">
        <v>2</v>
      </c>
      <c r="H19" s="8"/>
      <c r="I19" s="8">
        <v>3</v>
      </c>
      <c r="J19" s="8">
        <v>2</v>
      </c>
      <c r="K19" s="8"/>
      <c r="L19" s="8"/>
      <c r="M19" s="9">
        <f t="shared" si="4"/>
        <v>9</v>
      </c>
      <c r="N19" s="10" t="str">
        <f t="shared" si="3"/>
        <v>P</v>
      </c>
      <c r="O19" s="1"/>
      <c r="P19" s="11">
        <f>SUM(LARGE(R19:T19,{1,2}))</f>
        <v>7</v>
      </c>
      <c r="Q19" s="1"/>
      <c r="R19" s="12">
        <f t="shared" si="0"/>
        <v>2</v>
      </c>
      <c r="S19" s="12">
        <f t="shared" si="1"/>
        <v>5</v>
      </c>
      <c r="T19" s="12">
        <f t="shared" si="2"/>
        <v>0</v>
      </c>
      <c r="U19" s="1"/>
      <c r="V19" s="1"/>
      <c r="W19" s="48" t="s">
        <v>43</v>
      </c>
    </row>
    <row r="20" spans="1:23" ht="21.95" customHeight="1">
      <c r="A20" s="1"/>
      <c r="B20" s="13">
        <v>12</v>
      </c>
      <c r="C20" s="18">
        <v>160923733133</v>
      </c>
      <c r="D20" s="7">
        <v>2</v>
      </c>
      <c r="E20" s="8">
        <v>2</v>
      </c>
      <c r="F20" s="8">
        <v>0</v>
      </c>
      <c r="G20" s="8">
        <v>5</v>
      </c>
      <c r="H20" s="8"/>
      <c r="I20" s="8">
        <v>3</v>
      </c>
      <c r="J20" s="8">
        <v>3</v>
      </c>
      <c r="K20" s="8"/>
      <c r="L20" s="8"/>
      <c r="M20" s="9">
        <f t="shared" si="4"/>
        <v>15</v>
      </c>
      <c r="N20" s="10" t="str">
        <f t="shared" si="3"/>
        <v>P</v>
      </c>
      <c r="O20" s="1"/>
      <c r="P20" s="11">
        <f>SUM(LARGE(R20:T20,{1,2}))</f>
        <v>11</v>
      </c>
      <c r="Q20" s="1"/>
      <c r="R20" s="12">
        <f t="shared" si="0"/>
        <v>5</v>
      </c>
      <c r="S20" s="12">
        <f t="shared" si="1"/>
        <v>6</v>
      </c>
      <c r="T20" s="12">
        <f t="shared" si="2"/>
        <v>0</v>
      </c>
      <c r="U20" s="1"/>
      <c r="V20" s="1"/>
      <c r="W20" s="48" t="s">
        <v>44</v>
      </c>
    </row>
    <row r="21" spans="1:23" ht="21.95" customHeight="1">
      <c r="A21" s="1"/>
      <c r="B21" s="6">
        <v>13</v>
      </c>
      <c r="C21" s="18">
        <v>160923733134</v>
      </c>
      <c r="D21" s="7">
        <v>2</v>
      </c>
      <c r="E21" s="8">
        <v>2</v>
      </c>
      <c r="F21" s="8">
        <v>2</v>
      </c>
      <c r="G21" s="8">
        <v>4</v>
      </c>
      <c r="H21" s="8"/>
      <c r="I21" s="8"/>
      <c r="J21" s="8"/>
      <c r="K21" s="8">
        <v>7</v>
      </c>
      <c r="L21" s="8"/>
      <c r="M21" s="9">
        <f t="shared" si="4"/>
        <v>17</v>
      </c>
      <c r="N21" s="10" t="str">
        <f t="shared" si="3"/>
        <v>P</v>
      </c>
      <c r="O21" s="1"/>
      <c r="P21" s="11">
        <f>SUM(LARGE(R21:T21,{1,2}))</f>
        <v>11</v>
      </c>
      <c r="Q21" s="1"/>
      <c r="R21" s="12">
        <f t="shared" si="0"/>
        <v>4</v>
      </c>
      <c r="S21" s="12">
        <f t="shared" si="1"/>
        <v>0</v>
      </c>
      <c r="T21" s="12">
        <f t="shared" si="2"/>
        <v>7</v>
      </c>
      <c r="U21" s="1"/>
      <c r="V21" s="1"/>
      <c r="W21" s="48" t="s">
        <v>45</v>
      </c>
    </row>
    <row r="22" spans="1:23" ht="21.95" customHeight="1">
      <c r="A22" s="1"/>
      <c r="B22" s="13">
        <v>14</v>
      </c>
      <c r="C22" s="18">
        <v>160923733135</v>
      </c>
      <c r="D22" s="7">
        <v>2</v>
      </c>
      <c r="E22" s="8">
        <v>2</v>
      </c>
      <c r="F22" s="8">
        <v>2</v>
      </c>
      <c r="G22" s="8">
        <v>4</v>
      </c>
      <c r="H22" s="8"/>
      <c r="I22" s="8"/>
      <c r="J22" s="8"/>
      <c r="K22" s="8">
        <v>3</v>
      </c>
      <c r="L22" s="8"/>
      <c r="M22" s="9">
        <f t="shared" si="4"/>
        <v>13</v>
      </c>
      <c r="N22" s="10" t="str">
        <f t="shared" si="3"/>
        <v>P</v>
      </c>
      <c r="O22" s="1"/>
      <c r="P22" s="11">
        <f>SUM(LARGE(R22:T22,{1,2}))</f>
        <v>7</v>
      </c>
      <c r="Q22" s="1"/>
      <c r="R22" s="12">
        <f t="shared" si="0"/>
        <v>4</v>
      </c>
      <c r="S22" s="12">
        <f t="shared" si="1"/>
        <v>0</v>
      </c>
      <c r="T22" s="12">
        <f t="shared" si="2"/>
        <v>3</v>
      </c>
      <c r="U22" s="1"/>
      <c r="V22" s="1"/>
      <c r="W22" s="48" t="s">
        <v>46</v>
      </c>
    </row>
    <row r="23" spans="1:23" ht="21.95" customHeight="1">
      <c r="A23" s="1"/>
      <c r="B23" s="6">
        <v>15</v>
      </c>
      <c r="C23" s="18">
        <v>160923733136</v>
      </c>
      <c r="D23" s="7">
        <v>2</v>
      </c>
      <c r="E23" s="8">
        <v>1</v>
      </c>
      <c r="F23" s="8">
        <v>0</v>
      </c>
      <c r="G23" s="8">
        <v>6</v>
      </c>
      <c r="H23" s="8"/>
      <c r="I23" s="8">
        <v>2</v>
      </c>
      <c r="J23" s="8"/>
      <c r="K23" s="8"/>
      <c r="L23" s="8"/>
      <c r="M23" s="9">
        <f t="shared" si="4"/>
        <v>11</v>
      </c>
      <c r="N23" s="10" t="str">
        <f t="shared" si="3"/>
        <v>P</v>
      </c>
      <c r="O23" s="1"/>
      <c r="P23" s="11">
        <f>SUM(LARGE(R23:T23,{1,2}))</f>
        <v>8</v>
      </c>
      <c r="Q23" s="1"/>
      <c r="R23" s="12">
        <f t="shared" si="0"/>
        <v>6</v>
      </c>
      <c r="S23" s="12">
        <f t="shared" si="1"/>
        <v>2</v>
      </c>
      <c r="T23" s="12">
        <f t="shared" si="2"/>
        <v>0</v>
      </c>
      <c r="U23" s="1"/>
      <c r="V23" s="1"/>
      <c r="W23" s="48" t="s">
        <v>47</v>
      </c>
    </row>
    <row r="24" spans="1:23" ht="21.95" customHeight="1">
      <c r="A24" s="1"/>
      <c r="B24" s="13">
        <v>16</v>
      </c>
      <c r="C24" s="18">
        <v>160923733137</v>
      </c>
      <c r="D24" s="7">
        <v>2</v>
      </c>
      <c r="E24" s="8">
        <v>2</v>
      </c>
      <c r="F24" s="8">
        <v>2</v>
      </c>
      <c r="G24" s="8">
        <v>7</v>
      </c>
      <c r="H24" s="8"/>
      <c r="I24" s="8"/>
      <c r="J24" s="8"/>
      <c r="K24" s="8"/>
      <c r="L24" s="8"/>
      <c r="M24" s="9">
        <f t="shared" si="4"/>
        <v>13</v>
      </c>
      <c r="N24" s="10" t="str">
        <f t="shared" si="3"/>
        <v>P</v>
      </c>
      <c r="O24" s="1"/>
      <c r="P24" s="11">
        <f>SUM(LARGE(R24:T24,{1,2}))</f>
        <v>7</v>
      </c>
      <c r="Q24" s="1"/>
      <c r="R24" s="12">
        <f t="shared" si="0"/>
        <v>7</v>
      </c>
      <c r="S24" s="12">
        <f t="shared" si="1"/>
        <v>0</v>
      </c>
      <c r="T24" s="12">
        <f t="shared" si="2"/>
        <v>0</v>
      </c>
      <c r="U24" s="1"/>
      <c r="V24" s="1"/>
      <c r="W24" s="48" t="s">
        <v>48</v>
      </c>
    </row>
    <row r="25" spans="1:23" ht="21.95" customHeight="1">
      <c r="A25" s="1"/>
      <c r="B25" s="6">
        <v>17</v>
      </c>
      <c r="C25" s="18">
        <v>160923733138</v>
      </c>
      <c r="D25" s="7" t="s">
        <v>31</v>
      </c>
      <c r="E25" s="7" t="s">
        <v>31</v>
      </c>
      <c r="F25" s="7" t="s">
        <v>31</v>
      </c>
      <c r="G25" s="7" t="s">
        <v>31</v>
      </c>
      <c r="H25" s="7" t="s">
        <v>31</v>
      </c>
      <c r="I25" s="7" t="s">
        <v>31</v>
      </c>
      <c r="J25" s="7" t="s">
        <v>31</v>
      </c>
      <c r="K25" s="7" t="s">
        <v>31</v>
      </c>
      <c r="L25" s="7" t="s">
        <v>31</v>
      </c>
      <c r="M25" s="7" t="s">
        <v>31</v>
      </c>
      <c r="N25" s="10" t="str">
        <f t="shared" si="3"/>
        <v>P</v>
      </c>
      <c r="O25" s="1"/>
      <c r="P25" s="11">
        <f>SUM(LARGE(R25:T25,{1,2}))</f>
        <v>0</v>
      </c>
      <c r="Q25" s="1"/>
      <c r="R25" s="12">
        <f t="shared" si="0"/>
        <v>0</v>
      </c>
      <c r="S25" s="12">
        <f t="shared" si="1"/>
        <v>0</v>
      </c>
      <c r="T25" s="12">
        <f t="shared" si="2"/>
        <v>0</v>
      </c>
      <c r="U25" s="1"/>
      <c r="V25" s="1"/>
      <c r="W25" s="48" t="s">
        <v>49</v>
      </c>
    </row>
    <row r="26" spans="1:23" ht="21.95" customHeight="1">
      <c r="A26" s="1"/>
      <c r="B26" s="13">
        <v>18</v>
      </c>
      <c r="C26" s="18">
        <v>160923733139</v>
      </c>
      <c r="D26" s="7">
        <v>2</v>
      </c>
      <c r="E26" s="8">
        <v>2</v>
      </c>
      <c r="F26" s="8">
        <v>1</v>
      </c>
      <c r="G26" s="8">
        <v>3</v>
      </c>
      <c r="H26" s="8"/>
      <c r="I26" s="8"/>
      <c r="J26" s="8"/>
      <c r="K26" s="8">
        <v>3</v>
      </c>
      <c r="L26" s="8"/>
      <c r="M26" s="9">
        <f t="shared" si="4"/>
        <v>11</v>
      </c>
      <c r="N26" s="10" t="str">
        <f t="shared" si="3"/>
        <v>P</v>
      </c>
      <c r="O26" s="1"/>
      <c r="P26" s="11">
        <f>SUM(LARGE(R26:T26,{1,2}))</f>
        <v>6</v>
      </c>
      <c r="Q26" s="1"/>
      <c r="R26" s="12">
        <f t="shared" si="0"/>
        <v>3</v>
      </c>
      <c r="S26" s="12">
        <f t="shared" si="1"/>
        <v>0</v>
      </c>
      <c r="T26" s="12">
        <f t="shared" si="2"/>
        <v>3</v>
      </c>
      <c r="U26" s="1"/>
      <c r="V26" s="1"/>
      <c r="W26" s="48" t="s">
        <v>50</v>
      </c>
    </row>
    <row r="27" spans="1:23" ht="21.95" customHeight="1">
      <c r="A27" s="1"/>
      <c r="B27" s="6">
        <v>19</v>
      </c>
      <c r="C27" s="18">
        <v>160923733140</v>
      </c>
      <c r="D27" s="7">
        <v>2</v>
      </c>
      <c r="E27" s="8">
        <v>2</v>
      </c>
      <c r="F27" s="8">
        <v>2</v>
      </c>
      <c r="G27" s="8">
        <v>3</v>
      </c>
      <c r="H27" s="8"/>
      <c r="I27" s="8"/>
      <c r="J27" s="8"/>
      <c r="K27" s="8">
        <v>2</v>
      </c>
      <c r="L27" s="8"/>
      <c r="M27" s="9">
        <f t="shared" si="4"/>
        <v>11</v>
      </c>
      <c r="N27" s="10" t="str">
        <f t="shared" si="3"/>
        <v>P</v>
      </c>
      <c r="O27" s="1"/>
      <c r="P27" s="11">
        <f>SUM(LARGE(R27:T27,{1,2}))</f>
        <v>5</v>
      </c>
      <c r="Q27" s="1"/>
      <c r="R27" s="12">
        <f t="shared" si="0"/>
        <v>3</v>
      </c>
      <c r="S27" s="12">
        <f t="shared" si="1"/>
        <v>0</v>
      </c>
      <c r="T27" s="12">
        <f t="shared" si="2"/>
        <v>2</v>
      </c>
      <c r="U27" s="1"/>
      <c r="V27" s="1"/>
      <c r="W27" s="48" t="s">
        <v>51</v>
      </c>
    </row>
    <row r="28" spans="1:23" ht="21.95" customHeight="1">
      <c r="A28" s="1"/>
      <c r="B28" s="13">
        <v>20</v>
      </c>
      <c r="C28" s="18">
        <v>160923733141</v>
      </c>
      <c r="D28" s="7">
        <v>2</v>
      </c>
      <c r="E28" s="8">
        <v>2</v>
      </c>
      <c r="F28" s="8">
        <v>2</v>
      </c>
      <c r="G28" s="8">
        <v>2</v>
      </c>
      <c r="H28" s="8"/>
      <c r="I28" s="8"/>
      <c r="J28" s="8"/>
      <c r="K28" s="8"/>
      <c r="L28" s="8"/>
      <c r="M28" s="9">
        <f t="shared" si="4"/>
        <v>8</v>
      </c>
      <c r="N28" s="10" t="str">
        <f t="shared" si="3"/>
        <v>P</v>
      </c>
      <c r="O28" s="1"/>
      <c r="P28" s="11">
        <f>SUM(LARGE(R28:T28,{1,2}))</f>
        <v>2</v>
      </c>
      <c r="Q28" s="1"/>
      <c r="R28" s="12">
        <f t="shared" si="0"/>
        <v>2</v>
      </c>
      <c r="S28" s="12">
        <f t="shared" si="1"/>
        <v>0</v>
      </c>
      <c r="T28" s="12">
        <f t="shared" si="2"/>
        <v>0</v>
      </c>
      <c r="U28" s="1"/>
      <c r="V28" s="1"/>
      <c r="W28" s="48" t="s">
        <v>52</v>
      </c>
    </row>
    <row r="29" spans="1:23" ht="21.95" customHeight="1">
      <c r="A29" s="1"/>
      <c r="B29" s="6">
        <v>21</v>
      </c>
      <c r="C29" s="18">
        <v>160923733142</v>
      </c>
      <c r="D29" s="7">
        <v>2</v>
      </c>
      <c r="E29" s="8">
        <v>2</v>
      </c>
      <c r="F29" s="8">
        <v>2</v>
      </c>
      <c r="G29" s="8">
        <v>7</v>
      </c>
      <c r="H29" s="8"/>
      <c r="I29" s="8"/>
      <c r="J29" s="8"/>
      <c r="K29" s="8">
        <v>7</v>
      </c>
      <c r="L29" s="8"/>
      <c r="M29" s="9">
        <f t="shared" si="4"/>
        <v>20</v>
      </c>
      <c r="N29" s="10" t="str">
        <f t="shared" si="3"/>
        <v>P</v>
      </c>
      <c r="O29" s="1"/>
      <c r="P29" s="11">
        <f>SUM(LARGE(R29:T29,{1,2}))</f>
        <v>14</v>
      </c>
      <c r="Q29" s="1"/>
      <c r="R29" s="12">
        <f t="shared" si="0"/>
        <v>7</v>
      </c>
      <c r="S29" s="12">
        <f t="shared" si="1"/>
        <v>0</v>
      </c>
      <c r="T29" s="12">
        <f t="shared" si="2"/>
        <v>7</v>
      </c>
      <c r="U29" s="1"/>
      <c r="V29" s="1"/>
      <c r="W29" s="48" t="s">
        <v>53</v>
      </c>
    </row>
    <row r="30" spans="1:23" ht="21.95" customHeight="1">
      <c r="A30" s="1"/>
      <c r="B30" s="13">
        <v>22</v>
      </c>
      <c r="C30" s="18">
        <v>160923733143</v>
      </c>
      <c r="D30" s="7">
        <v>2</v>
      </c>
      <c r="E30" s="8">
        <v>2</v>
      </c>
      <c r="F30" s="8">
        <v>2</v>
      </c>
      <c r="G30" s="8"/>
      <c r="H30" s="8"/>
      <c r="I30" s="8"/>
      <c r="J30" s="8"/>
      <c r="K30" s="8">
        <v>1</v>
      </c>
      <c r="L30" s="8"/>
      <c r="M30" s="9">
        <f t="shared" si="4"/>
        <v>7</v>
      </c>
      <c r="N30" s="10" t="str">
        <f t="shared" si="3"/>
        <v>F</v>
      </c>
      <c r="O30" s="1"/>
      <c r="P30" s="11">
        <f>SUM(LARGE(R30:T30,{1,2}))</f>
        <v>1</v>
      </c>
      <c r="Q30" s="1"/>
      <c r="R30" s="12">
        <f t="shared" si="0"/>
        <v>0</v>
      </c>
      <c r="S30" s="12">
        <f t="shared" si="1"/>
        <v>0</v>
      </c>
      <c r="T30" s="12">
        <f t="shared" si="2"/>
        <v>1</v>
      </c>
      <c r="U30" s="1"/>
      <c r="V30" s="1"/>
      <c r="W30" s="48" t="s">
        <v>54</v>
      </c>
    </row>
    <row r="31" spans="1:23" ht="21.95" customHeight="1">
      <c r="A31" s="1"/>
      <c r="B31" s="6">
        <v>23</v>
      </c>
      <c r="C31" s="18">
        <v>160923733144</v>
      </c>
      <c r="D31" s="7">
        <v>2</v>
      </c>
      <c r="E31" s="8">
        <v>2</v>
      </c>
      <c r="F31" s="8">
        <v>2</v>
      </c>
      <c r="G31" s="8">
        <v>5</v>
      </c>
      <c r="H31" s="8"/>
      <c r="I31" s="8">
        <v>4</v>
      </c>
      <c r="J31" s="8">
        <v>3</v>
      </c>
      <c r="K31" s="8"/>
      <c r="L31" s="8"/>
      <c r="M31" s="9">
        <f t="shared" si="4"/>
        <v>18</v>
      </c>
      <c r="N31" s="10" t="str">
        <f t="shared" si="3"/>
        <v>P</v>
      </c>
      <c r="O31" s="1"/>
      <c r="P31" s="11">
        <f>SUM(LARGE(R31:T31,{1,2}))</f>
        <v>12</v>
      </c>
      <c r="Q31" s="1"/>
      <c r="R31" s="12">
        <f t="shared" si="0"/>
        <v>5</v>
      </c>
      <c r="S31" s="12">
        <f t="shared" si="1"/>
        <v>7</v>
      </c>
      <c r="T31" s="12">
        <f t="shared" si="2"/>
        <v>0</v>
      </c>
      <c r="U31" s="1"/>
      <c r="V31" s="1"/>
      <c r="W31" s="48" t="s">
        <v>55</v>
      </c>
    </row>
    <row r="32" spans="1:23" ht="21.95" customHeight="1">
      <c r="A32" s="1"/>
      <c r="B32" s="13">
        <v>24</v>
      </c>
      <c r="C32" s="18">
        <v>160923733145</v>
      </c>
      <c r="D32" s="7">
        <v>2</v>
      </c>
      <c r="E32" s="8">
        <v>2</v>
      </c>
      <c r="F32" s="8">
        <v>2</v>
      </c>
      <c r="G32" s="8">
        <v>7</v>
      </c>
      <c r="H32" s="8"/>
      <c r="I32" s="8"/>
      <c r="J32" s="8"/>
      <c r="K32" s="8">
        <v>7</v>
      </c>
      <c r="L32" s="8"/>
      <c r="M32" s="9">
        <f t="shared" si="4"/>
        <v>20</v>
      </c>
      <c r="N32" s="10" t="str">
        <f t="shared" si="3"/>
        <v>P</v>
      </c>
      <c r="O32" s="1"/>
      <c r="P32" s="11">
        <f>SUM(LARGE(R32:T32,{1,2}))</f>
        <v>14</v>
      </c>
      <c r="Q32" s="1"/>
      <c r="R32" s="12">
        <f t="shared" si="0"/>
        <v>7</v>
      </c>
      <c r="S32" s="12">
        <f t="shared" si="1"/>
        <v>0</v>
      </c>
      <c r="T32" s="12">
        <f t="shared" si="2"/>
        <v>7</v>
      </c>
      <c r="U32" s="1"/>
      <c r="V32" s="1"/>
      <c r="W32" s="48" t="s">
        <v>56</v>
      </c>
    </row>
    <row r="33" spans="1:23" ht="21.95" customHeight="1">
      <c r="A33" s="1"/>
      <c r="B33" s="6">
        <v>25</v>
      </c>
      <c r="C33" s="18">
        <v>160923733146</v>
      </c>
      <c r="D33" s="7">
        <v>2</v>
      </c>
      <c r="E33" s="8"/>
      <c r="F33" s="8">
        <v>0</v>
      </c>
      <c r="G33" s="8">
        <v>3</v>
      </c>
      <c r="H33" s="8"/>
      <c r="I33" s="8"/>
      <c r="J33" s="8"/>
      <c r="K33" s="8">
        <v>2</v>
      </c>
      <c r="L33" s="8"/>
      <c r="M33" s="9">
        <f t="shared" si="4"/>
        <v>7</v>
      </c>
      <c r="N33" s="10" t="str">
        <f t="shared" si="3"/>
        <v>F</v>
      </c>
      <c r="O33" s="1"/>
      <c r="P33" s="11">
        <f>SUM(LARGE(R33:T33,{1,2}))</f>
        <v>5</v>
      </c>
      <c r="Q33" s="1"/>
      <c r="R33" s="12">
        <f t="shared" si="0"/>
        <v>3</v>
      </c>
      <c r="S33" s="12">
        <f t="shared" si="1"/>
        <v>0</v>
      </c>
      <c r="T33" s="12">
        <f t="shared" si="2"/>
        <v>2</v>
      </c>
      <c r="U33" s="1"/>
      <c r="V33" s="1"/>
      <c r="W33" s="48" t="s">
        <v>57</v>
      </c>
    </row>
    <row r="34" spans="1:23" ht="21.95" customHeight="1">
      <c r="A34" s="1"/>
      <c r="B34" s="13">
        <v>26</v>
      </c>
      <c r="C34" s="18">
        <v>160923733147</v>
      </c>
      <c r="D34" s="7">
        <v>2</v>
      </c>
      <c r="E34" s="8">
        <v>0</v>
      </c>
      <c r="F34" s="8"/>
      <c r="G34" s="8">
        <v>3</v>
      </c>
      <c r="H34" s="8"/>
      <c r="I34" s="8"/>
      <c r="J34" s="8"/>
      <c r="K34" s="8">
        <v>1</v>
      </c>
      <c r="L34" s="8"/>
      <c r="M34" s="9">
        <f t="shared" si="4"/>
        <v>6</v>
      </c>
      <c r="N34" s="10" t="str">
        <f t="shared" si="3"/>
        <v>F</v>
      </c>
      <c r="O34" s="1"/>
      <c r="P34" s="11">
        <f>SUM(LARGE(R34:T34,{1,2}))</f>
        <v>4</v>
      </c>
      <c r="Q34" s="1"/>
      <c r="R34" s="12">
        <f t="shared" si="0"/>
        <v>3</v>
      </c>
      <c r="S34" s="12">
        <f t="shared" si="1"/>
        <v>0</v>
      </c>
      <c r="T34" s="12">
        <f t="shared" si="2"/>
        <v>1</v>
      </c>
      <c r="U34" s="1"/>
      <c r="V34" s="1"/>
      <c r="W34" s="48" t="s">
        <v>58</v>
      </c>
    </row>
    <row r="35" spans="1:23" ht="21.95" customHeight="1">
      <c r="A35" s="1"/>
      <c r="B35" s="6">
        <v>27</v>
      </c>
      <c r="C35" s="18">
        <v>160923733148</v>
      </c>
      <c r="D35" s="7">
        <v>2</v>
      </c>
      <c r="E35" s="8">
        <v>2</v>
      </c>
      <c r="F35" s="8">
        <v>2</v>
      </c>
      <c r="G35" s="8">
        <v>7</v>
      </c>
      <c r="H35" s="8"/>
      <c r="I35" s="8"/>
      <c r="J35" s="8"/>
      <c r="K35" s="8">
        <v>7</v>
      </c>
      <c r="L35" s="8"/>
      <c r="M35" s="9">
        <f t="shared" si="4"/>
        <v>20</v>
      </c>
      <c r="N35" s="10" t="str">
        <f t="shared" si="3"/>
        <v>P</v>
      </c>
      <c r="O35" s="1"/>
      <c r="P35" s="11">
        <f>SUM(LARGE(R35:T35,{1,2}))</f>
        <v>14</v>
      </c>
      <c r="Q35" s="1"/>
      <c r="R35" s="12">
        <f t="shared" si="0"/>
        <v>7</v>
      </c>
      <c r="S35" s="12">
        <f t="shared" si="1"/>
        <v>0</v>
      </c>
      <c r="T35" s="12">
        <f t="shared" si="2"/>
        <v>7</v>
      </c>
      <c r="U35" s="1"/>
      <c r="V35" s="1"/>
      <c r="W35" s="48" t="s">
        <v>59</v>
      </c>
    </row>
    <row r="36" spans="1:23" ht="21.95" customHeight="1">
      <c r="A36" s="1"/>
      <c r="B36" s="13">
        <v>28</v>
      </c>
      <c r="C36" s="18">
        <v>160923733149</v>
      </c>
      <c r="D36" s="7">
        <v>2</v>
      </c>
      <c r="E36" s="8">
        <v>2</v>
      </c>
      <c r="F36" s="8">
        <v>1</v>
      </c>
      <c r="G36" s="8">
        <v>2</v>
      </c>
      <c r="H36" s="8"/>
      <c r="I36" s="8"/>
      <c r="J36" s="8"/>
      <c r="K36" s="8">
        <v>1</v>
      </c>
      <c r="L36" s="8"/>
      <c r="M36" s="9">
        <f t="shared" si="4"/>
        <v>8</v>
      </c>
      <c r="N36" s="10" t="str">
        <f t="shared" si="3"/>
        <v>P</v>
      </c>
      <c r="O36" s="1"/>
      <c r="P36" s="11">
        <f>SUM(LARGE(R36:T36,{1,2}))</f>
        <v>3</v>
      </c>
      <c r="Q36" s="1"/>
      <c r="R36" s="12">
        <f t="shared" si="0"/>
        <v>2</v>
      </c>
      <c r="S36" s="12">
        <f t="shared" si="1"/>
        <v>0</v>
      </c>
      <c r="T36" s="12">
        <f t="shared" si="2"/>
        <v>1</v>
      </c>
      <c r="U36" s="1"/>
      <c r="V36" s="1"/>
      <c r="W36" s="48" t="s">
        <v>60</v>
      </c>
    </row>
    <row r="37" spans="1:23" ht="21.95" customHeight="1">
      <c r="A37" s="1"/>
      <c r="B37" s="6">
        <v>29</v>
      </c>
      <c r="C37" s="18">
        <v>160923733150</v>
      </c>
      <c r="D37" s="7">
        <v>2</v>
      </c>
      <c r="E37" s="15"/>
      <c r="F37" s="15">
        <v>2</v>
      </c>
      <c r="G37" s="15">
        <v>3</v>
      </c>
      <c r="H37" s="15"/>
      <c r="I37" s="15"/>
      <c r="J37" s="15"/>
      <c r="K37" s="15"/>
      <c r="L37" s="15"/>
      <c r="M37" s="9">
        <f t="shared" si="4"/>
        <v>7</v>
      </c>
      <c r="N37" s="10" t="str">
        <f t="shared" si="3"/>
        <v>F</v>
      </c>
      <c r="O37" s="1"/>
      <c r="P37" s="11">
        <f>SUM(LARGE(R37:T37,{1,2}))</f>
        <v>3</v>
      </c>
      <c r="Q37" s="1"/>
      <c r="R37" s="12">
        <f t="shared" si="0"/>
        <v>3</v>
      </c>
      <c r="S37" s="12">
        <f t="shared" si="1"/>
        <v>0</v>
      </c>
      <c r="T37" s="12">
        <f t="shared" si="2"/>
        <v>0</v>
      </c>
      <c r="U37" s="1"/>
      <c r="V37" s="1"/>
      <c r="W37" s="48" t="s">
        <v>61</v>
      </c>
    </row>
    <row r="38" spans="1:23" ht="21.95" customHeight="1">
      <c r="A38" s="1"/>
      <c r="B38" s="13">
        <v>30</v>
      </c>
      <c r="C38" s="18">
        <v>160923733151</v>
      </c>
      <c r="D38" s="7">
        <v>2</v>
      </c>
      <c r="E38" s="8"/>
      <c r="F38" s="8">
        <v>2</v>
      </c>
      <c r="G38" s="8">
        <v>3</v>
      </c>
      <c r="H38" s="8"/>
      <c r="I38" s="8"/>
      <c r="J38" s="8"/>
      <c r="K38" s="8"/>
      <c r="L38" s="8"/>
      <c r="M38" s="9">
        <f t="shared" si="4"/>
        <v>7</v>
      </c>
      <c r="N38" s="17" t="str">
        <f t="shared" si="3"/>
        <v>F</v>
      </c>
      <c r="O38" s="1"/>
      <c r="P38" s="11">
        <f>SUM(LARGE(R38:T38,{1,2}))</f>
        <v>3</v>
      </c>
      <c r="Q38" s="1"/>
      <c r="R38" s="12">
        <f t="shared" si="0"/>
        <v>3</v>
      </c>
      <c r="S38" s="12">
        <f t="shared" si="1"/>
        <v>0</v>
      </c>
      <c r="T38" s="12">
        <f t="shared" si="2"/>
        <v>0</v>
      </c>
      <c r="U38" s="1"/>
      <c r="V38" s="1"/>
      <c r="W38" s="48" t="s">
        <v>62</v>
      </c>
    </row>
    <row r="39" spans="1:23" ht="21.95" customHeight="1">
      <c r="A39" s="1"/>
      <c r="B39" s="6">
        <v>31</v>
      </c>
      <c r="C39" s="18">
        <v>160923733152</v>
      </c>
      <c r="D39" s="7">
        <v>2</v>
      </c>
      <c r="E39" s="10">
        <v>2</v>
      </c>
      <c r="F39" s="10">
        <v>2</v>
      </c>
      <c r="G39" s="10">
        <v>7</v>
      </c>
      <c r="H39" s="10"/>
      <c r="I39" s="10">
        <v>4</v>
      </c>
      <c r="J39" s="10">
        <v>3</v>
      </c>
      <c r="K39" s="10"/>
      <c r="L39" s="10"/>
      <c r="M39" s="9">
        <f t="shared" si="4"/>
        <v>20</v>
      </c>
      <c r="N39" s="1"/>
      <c r="O39" s="1"/>
      <c r="P39" s="11">
        <f>SUM(LARGE(R39:T39,{1,2}))</f>
        <v>14</v>
      </c>
      <c r="Q39" s="1"/>
      <c r="R39" s="12">
        <f t="shared" si="0"/>
        <v>7</v>
      </c>
      <c r="S39" s="12">
        <f t="shared" si="1"/>
        <v>7</v>
      </c>
      <c r="T39" s="12">
        <f t="shared" si="2"/>
        <v>0</v>
      </c>
      <c r="U39" s="1"/>
      <c r="V39" s="1"/>
      <c r="W39" s="48" t="s">
        <v>63</v>
      </c>
    </row>
    <row r="40" spans="1:23" ht="21.95" customHeight="1">
      <c r="A40" s="1"/>
      <c r="B40" s="13">
        <v>32</v>
      </c>
      <c r="C40" s="18">
        <v>160923733153</v>
      </c>
      <c r="D40" s="7" t="s">
        <v>31</v>
      </c>
      <c r="E40" s="7" t="s">
        <v>31</v>
      </c>
      <c r="F40" s="7" t="s">
        <v>31</v>
      </c>
      <c r="G40" s="7" t="s">
        <v>31</v>
      </c>
      <c r="H40" s="7" t="s">
        <v>31</v>
      </c>
      <c r="I40" s="7" t="s">
        <v>31</v>
      </c>
      <c r="J40" s="7" t="s">
        <v>31</v>
      </c>
      <c r="K40" s="7" t="s">
        <v>31</v>
      </c>
      <c r="L40" s="7" t="s">
        <v>31</v>
      </c>
      <c r="M40" s="7" t="s">
        <v>31</v>
      </c>
      <c r="N40" s="1"/>
      <c r="O40" s="1"/>
      <c r="P40" s="11">
        <f>SUM(LARGE(R40:T40,{1,2}))</f>
        <v>0</v>
      </c>
      <c r="Q40" s="1"/>
      <c r="R40" s="12">
        <f t="shared" si="0"/>
        <v>0</v>
      </c>
      <c r="S40" s="12">
        <f t="shared" si="1"/>
        <v>0</v>
      </c>
      <c r="T40" s="12">
        <f t="shared" si="2"/>
        <v>0</v>
      </c>
      <c r="U40" s="1"/>
      <c r="V40" s="1"/>
      <c r="W40" s="48" t="s">
        <v>64</v>
      </c>
    </row>
    <row r="41" spans="1:23" ht="21.95" customHeight="1">
      <c r="A41" s="1"/>
      <c r="B41" s="6">
        <v>33</v>
      </c>
      <c r="C41" s="18">
        <v>160923733154</v>
      </c>
      <c r="D41" s="10">
        <v>2</v>
      </c>
      <c r="E41" s="10">
        <v>2</v>
      </c>
      <c r="F41" s="10">
        <v>2</v>
      </c>
      <c r="G41" s="10">
        <v>7</v>
      </c>
      <c r="H41" s="10"/>
      <c r="I41" s="10"/>
      <c r="J41" s="10"/>
      <c r="K41" s="10">
        <v>7</v>
      </c>
      <c r="L41" s="10"/>
      <c r="M41" s="9">
        <f t="shared" si="4"/>
        <v>20</v>
      </c>
      <c r="N41" s="1"/>
      <c r="O41" s="1"/>
      <c r="P41" s="11">
        <f>SUM(LARGE(R41:T41,{1,2}))</f>
        <v>14</v>
      </c>
      <c r="Q41" s="1"/>
      <c r="R41" s="12">
        <f t="shared" si="0"/>
        <v>7</v>
      </c>
      <c r="S41" s="12">
        <f t="shared" si="1"/>
        <v>0</v>
      </c>
      <c r="T41" s="12">
        <f t="shared" si="2"/>
        <v>7</v>
      </c>
      <c r="U41" s="1"/>
      <c r="V41" s="1"/>
      <c r="W41" s="48" t="s">
        <v>65</v>
      </c>
    </row>
    <row r="42" spans="1:23" ht="21.95" customHeight="1">
      <c r="A42" s="1"/>
      <c r="B42" s="13">
        <v>34</v>
      </c>
      <c r="C42" s="18">
        <v>160923733155</v>
      </c>
      <c r="D42" s="10">
        <v>2</v>
      </c>
      <c r="E42" s="10"/>
      <c r="F42" s="10"/>
      <c r="G42" s="10">
        <v>5</v>
      </c>
      <c r="H42" s="10"/>
      <c r="I42" s="10"/>
      <c r="J42" s="10"/>
      <c r="K42" s="10">
        <v>7</v>
      </c>
      <c r="L42" s="10"/>
      <c r="M42" s="9">
        <f t="shared" si="4"/>
        <v>14</v>
      </c>
      <c r="N42" s="1"/>
      <c r="O42" s="1"/>
      <c r="P42" s="11">
        <f>SUM(LARGE(R42:T42,{1,2}))</f>
        <v>12</v>
      </c>
      <c r="Q42" s="1"/>
      <c r="R42" s="12">
        <f t="shared" si="0"/>
        <v>5</v>
      </c>
      <c r="S42" s="12">
        <f t="shared" si="1"/>
        <v>0</v>
      </c>
      <c r="T42" s="12">
        <f t="shared" si="2"/>
        <v>7</v>
      </c>
      <c r="U42" s="1"/>
      <c r="V42" s="1"/>
      <c r="W42" s="48" t="s">
        <v>66</v>
      </c>
    </row>
    <row r="43" spans="1:23" ht="21.95" customHeight="1">
      <c r="A43" s="1"/>
      <c r="B43" s="6">
        <v>35</v>
      </c>
      <c r="C43" s="18">
        <v>160923733156</v>
      </c>
      <c r="D43" s="10">
        <v>2</v>
      </c>
      <c r="E43" s="10">
        <v>2</v>
      </c>
      <c r="F43" s="10">
        <v>2</v>
      </c>
      <c r="G43" s="10">
        <v>7</v>
      </c>
      <c r="H43" s="10"/>
      <c r="I43" s="10"/>
      <c r="J43" s="10"/>
      <c r="K43" s="10">
        <v>7</v>
      </c>
      <c r="L43" s="10"/>
      <c r="M43" s="9">
        <f t="shared" si="4"/>
        <v>20</v>
      </c>
      <c r="N43" s="1"/>
      <c r="O43" s="1"/>
      <c r="P43" s="11">
        <f>SUM(LARGE(R43:T43,{1,2}))</f>
        <v>14</v>
      </c>
      <c r="Q43" s="1"/>
      <c r="R43" s="12">
        <f t="shared" si="0"/>
        <v>7</v>
      </c>
      <c r="S43" s="12">
        <f t="shared" si="1"/>
        <v>0</v>
      </c>
      <c r="T43" s="12">
        <f t="shared" si="2"/>
        <v>7</v>
      </c>
      <c r="U43" s="1"/>
      <c r="V43" s="1"/>
      <c r="W43" s="48" t="s">
        <v>67</v>
      </c>
    </row>
    <row r="44" spans="1:23" ht="21.95" customHeight="1">
      <c r="A44" s="1"/>
      <c r="B44" s="13">
        <v>36</v>
      </c>
      <c r="C44" s="18">
        <v>160923733157</v>
      </c>
      <c r="D44" s="10"/>
      <c r="E44" s="10">
        <v>2</v>
      </c>
      <c r="F44" s="10">
        <v>0</v>
      </c>
      <c r="G44" s="10">
        <v>7</v>
      </c>
      <c r="H44" s="10"/>
      <c r="I44" s="10"/>
      <c r="J44" s="10"/>
      <c r="K44" s="10"/>
      <c r="L44" s="10"/>
      <c r="M44" s="9">
        <f t="shared" si="4"/>
        <v>9</v>
      </c>
      <c r="N44" s="1"/>
      <c r="O44" s="1"/>
      <c r="P44" s="11">
        <f>SUM(LARGE(R44:T44,{1,2}))</f>
        <v>7</v>
      </c>
      <c r="Q44" s="1"/>
      <c r="R44" s="12">
        <f t="shared" si="0"/>
        <v>7</v>
      </c>
      <c r="S44" s="12">
        <f t="shared" si="1"/>
        <v>0</v>
      </c>
      <c r="T44" s="12">
        <f t="shared" si="2"/>
        <v>0</v>
      </c>
      <c r="U44" s="1"/>
      <c r="V44" s="1"/>
      <c r="W44" s="48" t="s">
        <v>68</v>
      </c>
    </row>
    <row r="45" spans="1:23" ht="21.95" customHeight="1">
      <c r="A45" s="1"/>
      <c r="B45" s="6">
        <v>37</v>
      </c>
      <c r="C45" s="18">
        <v>160923733158</v>
      </c>
      <c r="D45" s="10">
        <v>2</v>
      </c>
      <c r="E45" s="10"/>
      <c r="F45" s="10">
        <v>2</v>
      </c>
      <c r="G45" s="10">
        <v>7</v>
      </c>
      <c r="H45" s="10"/>
      <c r="I45" s="10"/>
      <c r="J45" s="10"/>
      <c r="K45" s="10">
        <v>7</v>
      </c>
      <c r="L45" s="10"/>
      <c r="M45" s="9">
        <f t="shared" si="4"/>
        <v>18</v>
      </c>
      <c r="N45" s="1"/>
      <c r="O45" s="1"/>
      <c r="P45" s="11">
        <f>SUM(LARGE(R45:T45,{1,2}))</f>
        <v>14</v>
      </c>
      <c r="Q45" s="1"/>
      <c r="R45" s="12">
        <f t="shared" si="0"/>
        <v>7</v>
      </c>
      <c r="S45" s="12">
        <f t="shared" si="1"/>
        <v>0</v>
      </c>
      <c r="T45" s="12">
        <f t="shared" si="2"/>
        <v>7</v>
      </c>
      <c r="U45" s="1"/>
      <c r="V45" s="1"/>
      <c r="W45" s="48" t="s">
        <v>69</v>
      </c>
    </row>
    <row r="46" spans="1:23" ht="21.95" customHeight="1">
      <c r="A46" s="1"/>
      <c r="B46" s="13">
        <v>38</v>
      </c>
      <c r="C46" s="18">
        <v>160923733159</v>
      </c>
      <c r="D46" s="10"/>
      <c r="E46" s="10"/>
      <c r="F46" s="10"/>
      <c r="G46" s="10">
        <v>3</v>
      </c>
      <c r="H46" s="10"/>
      <c r="I46" s="10"/>
      <c r="J46" s="10"/>
      <c r="K46" s="10"/>
      <c r="L46" s="10"/>
      <c r="M46" s="9">
        <f t="shared" si="4"/>
        <v>3</v>
      </c>
      <c r="N46" s="1"/>
      <c r="O46" s="1"/>
      <c r="P46" s="11">
        <f>SUM(LARGE(R46:T46,{1,2}))</f>
        <v>3</v>
      </c>
      <c r="Q46" s="1"/>
      <c r="R46" s="12">
        <f t="shared" si="0"/>
        <v>3</v>
      </c>
      <c r="S46" s="12">
        <f t="shared" si="1"/>
        <v>0</v>
      </c>
      <c r="T46" s="12">
        <f t="shared" si="2"/>
        <v>0</v>
      </c>
      <c r="U46" s="1"/>
      <c r="V46" s="1"/>
      <c r="W46" s="48" t="s">
        <v>70</v>
      </c>
    </row>
    <row r="47" spans="1:23" ht="21.95" customHeight="1">
      <c r="A47" s="1"/>
      <c r="B47" s="6">
        <v>39</v>
      </c>
      <c r="C47" s="18">
        <v>160923733160</v>
      </c>
      <c r="D47" s="10">
        <v>2</v>
      </c>
      <c r="E47" s="10">
        <v>2</v>
      </c>
      <c r="F47" s="10"/>
      <c r="G47" s="10">
        <v>2</v>
      </c>
      <c r="H47" s="10"/>
      <c r="I47" s="10"/>
      <c r="J47" s="10"/>
      <c r="K47" s="10"/>
      <c r="L47" s="10"/>
      <c r="M47" s="9">
        <f t="shared" si="4"/>
        <v>6</v>
      </c>
      <c r="N47" s="1"/>
      <c r="O47" s="1"/>
      <c r="P47" s="11">
        <f>SUM(LARGE(R47:T47,{1,2}))</f>
        <v>2</v>
      </c>
      <c r="Q47" s="1"/>
      <c r="R47" s="12">
        <f t="shared" si="0"/>
        <v>2</v>
      </c>
      <c r="S47" s="12">
        <f t="shared" si="1"/>
        <v>0</v>
      </c>
      <c r="T47" s="12">
        <f t="shared" si="2"/>
        <v>0</v>
      </c>
      <c r="U47" s="1"/>
      <c r="V47" s="1"/>
      <c r="W47" s="48" t="s">
        <v>71</v>
      </c>
    </row>
    <row r="48" spans="1:23" ht="21.95" customHeight="1">
      <c r="A48" s="1"/>
      <c r="B48" s="13">
        <v>40</v>
      </c>
      <c r="C48" s="18">
        <v>160923733161</v>
      </c>
      <c r="D48" s="10">
        <v>2</v>
      </c>
      <c r="E48" s="10">
        <v>2</v>
      </c>
      <c r="F48" s="10">
        <v>2</v>
      </c>
      <c r="G48" s="10">
        <v>7</v>
      </c>
      <c r="H48" s="10"/>
      <c r="I48" s="10">
        <v>4</v>
      </c>
      <c r="J48" s="10">
        <v>3</v>
      </c>
      <c r="K48" s="10"/>
      <c r="L48" s="10"/>
      <c r="M48" s="9">
        <f t="shared" si="4"/>
        <v>20</v>
      </c>
      <c r="N48" s="1"/>
      <c r="O48" s="1"/>
      <c r="P48" s="11">
        <f>SUM(LARGE(R48:T48,{1,2}))</f>
        <v>14</v>
      </c>
      <c r="Q48" s="1"/>
      <c r="R48" s="12">
        <f t="shared" si="0"/>
        <v>7</v>
      </c>
      <c r="S48" s="12">
        <f t="shared" si="1"/>
        <v>7</v>
      </c>
      <c r="T48" s="12">
        <f t="shared" si="2"/>
        <v>0</v>
      </c>
      <c r="U48" s="1"/>
      <c r="V48" s="1"/>
      <c r="W48" s="48" t="s">
        <v>72</v>
      </c>
    </row>
    <row r="49" spans="1:23" ht="21.95" customHeight="1">
      <c r="A49" s="1"/>
      <c r="B49" s="6">
        <v>41</v>
      </c>
      <c r="C49" s="18">
        <v>160923733162</v>
      </c>
      <c r="D49" s="10">
        <v>2</v>
      </c>
      <c r="E49" s="10">
        <v>2</v>
      </c>
      <c r="F49" s="10">
        <v>2</v>
      </c>
      <c r="G49" s="10">
        <v>3</v>
      </c>
      <c r="H49" s="10"/>
      <c r="I49" s="10"/>
      <c r="J49" s="10"/>
      <c r="K49" s="10">
        <v>7</v>
      </c>
      <c r="L49" s="10"/>
      <c r="M49" s="9">
        <f t="shared" si="4"/>
        <v>16</v>
      </c>
      <c r="N49" s="1"/>
      <c r="O49" s="1"/>
      <c r="P49" s="11">
        <f>SUM(LARGE(R49:T49,{1,2}))</f>
        <v>10</v>
      </c>
      <c r="Q49" s="1"/>
      <c r="R49" s="12">
        <f t="shared" si="0"/>
        <v>3</v>
      </c>
      <c r="S49" s="12">
        <f t="shared" si="1"/>
        <v>0</v>
      </c>
      <c r="T49" s="12">
        <f t="shared" si="2"/>
        <v>7</v>
      </c>
      <c r="U49" s="1"/>
      <c r="V49" s="1"/>
      <c r="W49" s="48" t="s">
        <v>73</v>
      </c>
    </row>
    <row r="50" spans="1:23" ht="21.95" customHeight="1">
      <c r="A50" s="1"/>
      <c r="B50" s="13">
        <v>42</v>
      </c>
      <c r="C50" s="18">
        <v>160923733163</v>
      </c>
      <c r="D50" s="10">
        <v>2</v>
      </c>
      <c r="E50" s="10">
        <v>1</v>
      </c>
      <c r="F50" s="10">
        <v>2</v>
      </c>
      <c r="G50" s="10">
        <v>7</v>
      </c>
      <c r="H50" s="10"/>
      <c r="I50" s="10"/>
      <c r="J50" s="10"/>
      <c r="K50" s="10">
        <v>7</v>
      </c>
      <c r="L50" s="10"/>
      <c r="M50" s="9">
        <f t="shared" si="4"/>
        <v>19</v>
      </c>
      <c r="N50" s="1"/>
      <c r="O50" s="1"/>
      <c r="P50" s="11">
        <f>SUM(LARGE(R50:T50,{1,2}))</f>
        <v>14</v>
      </c>
      <c r="Q50" s="1"/>
      <c r="R50" s="12">
        <f t="shared" si="0"/>
        <v>7</v>
      </c>
      <c r="S50" s="12">
        <f t="shared" si="1"/>
        <v>0</v>
      </c>
      <c r="T50" s="12">
        <f t="shared" si="2"/>
        <v>7</v>
      </c>
      <c r="U50" s="1"/>
      <c r="V50" s="1"/>
      <c r="W50" s="48" t="s">
        <v>74</v>
      </c>
    </row>
    <row r="51" spans="1:23" ht="21.95" customHeight="1">
      <c r="A51" s="1"/>
      <c r="B51" s="6">
        <v>43</v>
      </c>
      <c r="C51" s="18">
        <v>160923733164</v>
      </c>
      <c r="D51" s="10"/>
      <c r="E51" s="10"/>
      <c r="F51" s="10"/>
      <c r="G51" s="10"/>
      <c r="H51" s="10"/>
      <c r="I51" s="10"/>
      <c r="J51" s="10"/>
      <c r="K51" s="10">
        <v>7</v>
      </c>
      <c r="L51" s="10"/>
      <c r="M51" s="9">
        <f t="shared" si="4"/>
        <v>7</v>
      </c>
      <c r="N51" s="1"/>
      <c r="O51" s="1"/>
      <c r="P51" s="11">
        <f>SUM(LARGE(R51:T51,{1,2}))</f>
        <v>7</v>
      </c>
      <c r="Q51" s="1"/>
      <c r="R51" s="12">
        <f t="shared" si="0"/>
        <v>0</v>
      </c>
      <c r="S51" s="12">
        <f t="shared" si="1"/>
        <v>0</v>
      </c>
      <c r="T51" s="12">
        <f t="shared" si="2"/>
        <v>7</v>
      </c>
      <c r="U51" s="1"/>
      <c r="V51" s="1"/>
      <c r="W51" s="48" t="s">
        <v>75</v>
      </c>
    </row>
    <row r="52" spans="1:23" ht="21.95" customHeight="1">
      <c r="A52" s="1"/>
      <c r="B52" s="13">
        <v>44</v>
      </c>
      <c r="C52" s="18">
        <v>160923733165</v>
      </c>
      <c r="D52" s="10">
        <v>2</v>
      </c>
      <c r="E52" s="10"/>
      <c r="F52" s="10">
        <v>2</v>
      </c>
      <c r="G52" s="10">
        <v>5</v>
      </c>
      <c r="H52" s="10"/>
      <c r="I52" s="10"/>
      <c r="J52" s="10"/>
      <c r="K52" s="10"/>
      <c r="L52" s="10"/>
      <c r="M52" s="9">
        <f t="shared" si="4"/>
        <v>9</v>
      </c>
      <c r="N52" s="1"/>
      <c r="O52" s="1"/>
      <c r="P52" s="11">
        <f>SUM(LARGE(R52:T52,{1,2}))</f>
        <v>5</v>
      </c>
      <c r="Q52" s="1"/>
      <c r="R52" s="12">
        <f t="shared" si="0"/>
        <v>5</v>
      </c>
      <c r="S52" s="12">
        <f t="shared" si="1"/>
        <v>0</v>
      </c>
      <c r="T52" s="12">
        <f t="shared" si="2"/>
        <v>0</v>
      </c>
      <c r="U52" s="1"/>
      <c r="V52" s="1"/>
      <c r="W52" s="48" t="s">
        <v>76</v>
      </c>
    </row>
    <row r="53" spans="1:23" ht="21.95" customHeight="1">
      <c r="A53" s="1"/>
      <c r="B53" s="6">
        <v>45</v>
      </c>
      <c r="C53" s="18">
        <v>160923733166</v>
      </c>
      <c r="D53" s="10">
        <v>2</v>
      </c>
      <c r="E53" s="10">
        <v>2</v>
      </c>
      <c r="F53" s="10">
        <v>2</v>
      </c>
      <c r="G53" s="10">
        <v>4</v>
      </c>
      <c r="H53" s="10"/>
      <c r="I53" s="10"/>
      <c r="J53" s="10"/>
      <c r="K53" s="10">
        <v>7</v>
      </c>
      <c r="L53" s="10"/>
      <c r="M53" s="9">
        <f t="shared" si="4"/>
        <v>17</v>
      </c>
      <c r="N53" s="1"/>
      <c r="O53" s="1"/>
      <c r="P53" s="11">
        <f>SUM(LARGE(R53:T53,{1,2}))</f>
        <v>11</v>
      </c>
      <c r="Q53" s="1"/>
      <c r="R53" s="12">
        <f t="shared" si="0"/>
        <v>4</v>
      </c>
      <c r="S53" s="12">
        <f t="shared" si="1"/>
        <v>0</v>
      </c>
      <c r="T53" s="12">
        <f t="shared" si="2"/>
        <v>7</v>
      </c>
      <c r="U53" s="1"/>
      <c r="V53" s="1"/>
      <c r="W53" s="48" t="s">
        <v>77</v>
      </c>
    </row>
    <row r="54" spans="1:23" ht="21.95" customHeight="1">
      <c r="A54" s="1"/>
      <c r="B54" s="13">
        <v>46</v>
      </c>
      <c r="C54" s="18">
        <v>160923733167</v>
      </c>
      <c r="D54" s="10">
        <v>2</v>
      </c>
      <c r="E54" s="10">
        <v>2</v>
      </c>
      <c r="F54" s="10">
        <v>2</v>
      </c>
      <c r="G54" s="10">
        <v>4</v>
      </c>
      <c r="H54" s="10"/>
      <c r="I54" s="10"/>
      <c r="J54" s="10"/>
      <c r="K54" s="10">
        <v>7</v>
      </c>
      <c r="L54" s="10"/>
      <c r="M54" s="9">
        <f t="shared" si="4"/>
        <v>17</v>
      </c>
      <c r="N54" s="1"/>
      <c r="O54" s="1"/>
      <c r="P54" s="11">
        <f>SUM(LARGE(R54:T54,{1,2}))</f>
        <v>11</v>
      </c>
      <c r="Q54" s="1"/>
      <c r="R54" s="12">
        <f t="shared" si="0"/>
        <v>4</v>
      </c>
      <c r="S54" s="12">
        <f t="shared" si="1"/>
        <v>0</v>
      </c>
      <c r="T54" s="12">
        <f t="shared" si="2"/>
        <v>7</v>
      </c>
      <c r="U54" s="1"/>
      <c r="V54" s="1"/>
      <c r="W54" s="48" t="s">
        <v>78</v>
      </c>
    </row>
    <row r="55" spans="1:23" ht="21.95" customHeight="1">
      <c r="A55" s="1"/>
      <c r="B55" s="6">
        <v>47</v>
      </c>
      <c r="C55" s="18">
        <v>160923733168</v>
      </c>
      <c r="D55" s="10">
        <v>2</v>
      </c>
      <c r="E55" s="10">
        <v>2</v>
      </c>
      <c r="F55" s="10">
        <v>2</v>
      </c>
      <c r="G55" s="10">
        <v>3</v>
      </c>
      <c r="H55" s="10"/>
      <c r="I55" s="10"/>
      <c r="J55" s="10"/>
      <c r="K55" s="10"/>
      <c r="L55" s="10"/>
      <c r="M55" s="9">
        <f t="shared" si="4"/>
        <v>9</v>
      </c>
      <c r="N55" s="1"/>
      <c r="O55" s="1"/>
      <c r="P55" s="11">
        <f>SUM(LARGE(R55:T55,{1,2}))</f>
        <v>3</v>
      </c>
      <c r="Q55" s="1"/>
      <c r="R55" s="12">
        <f t="shared" si="0"/>
        <v>3</v>
      </c>
      <c r="S55" s="12">
        <f t="shared" si="1"/>
        <v>0</v>
      </c>
      <c r="T55" s="12">
        <f t="shared" si="2"/>
        <v>0</v>
      </c>
      <c r="U55" s="1"/>
      <c r="V55" s="1"/>
      <c r="W55" s="48" t="s">
        <v>79</v>
      </c>
    </row>
    <row r="56" spans="1:23" ht="21.95" customHeight="1">
      <c r="A56" s="1"/>
      <c r="B56" s="13">
        <v>48</v>
      </c>
      <c r="C56" s="18">
        <v>160923733169</v>
      </c>
      <c r="D56" s="10">
        <v>2</v>
      </c>
      <c r="E56" s="10">
        <v>2</v>
      </c>
      <c r="F56" s="10">
        <v>2</v>
      </c>
      <c r="G56" s="10">
        <v>7</v>
      </c>
      <c r="H56" s="10"/>
      <c r="I56" s="10"/>
      <c r="J56" s="10"/>
      <c r="K56" s="10">
        <v>7</v>
      </c>
      <c r="L56" s="10"/>
      <c r="M56" s="9">
        <f t="shared" si="4"/>
        <v>20</v>
      </c>
      <c r="N56" s="1"/>
      <c r="O56" s="1"/>
      <c r="P56" s="11"/>
      <c r="Q56" s="1"/>
      <c r="R56" s="12">
        <f t="shared" si="0"/>
        <v>7</v>
      </c>
      <c r="S56" s="12"/>
      <c r="T56" s="12"/>
      <c r="U56" s="1"/>
      <c r="V56" s="1"/>
      <c r="W56" s="48" t="s">
        <v>80</v>
      </c>
    </row>
    <row r="57" spans="1:23" ht="21.95" customHeight="1">
      <c r="A57" s="1"/>
      <c r="B57" s="6">
        <v>49</v>
      </c>
      <c r="C57" s="18">
        <v>160923733170</v>
      </c>
      <c r="D57" s="10">
        <v>1</v>
      </c>
      <c r="E57" s="10">
        <v>2</v>
      </c>
      <c r="F57" s="10">
        <v>0</v>
      </c>
      <c r="G57" s="10">
        <v>3</v>
      </c>
      <c r="H57" s="10"/>
      <c r="I57" s="10"/>
      <c r="J57" s="10"/>
      <c r="K57" s="10">
        <v>3</v>
      </c>
      <c r="L57" s="10"/>
      <c r="M57" s="9">
        <f t="shared" si="4"/>
        <v>9</v>
      </c>
      <c r="N57" s="1"/>
      <c r="O57" s="1"/>
      <c r="P57" s="11">
        <f>SUM(LARGE(R57:T57,{1,2}))</f>
        <v>6</v>
      </c>
      <c r="Q57" s="1"/>
      <c r="R57" s="12">
        <f t="shared" si="0"/>
        <v>3</v>
      </c>
      <c r="S57" s="12">
        <f t="shared" si="1"/>
        <v>0</v>
      </c>
      <c r="T57" s="12">
        <f t="shared" si="2"/>
        <v>3</v>
      </c>
      <c r="U57" s="1"/>
      <c r="V57" s="1"/>
      <c r="W57" s="48" t="s">
        <v>81</v>
      </c>
    </row>
    <row r="58" spans="1:23" ht="21.95" customHeight="1">
      <c r="A58" s="1"/>
      <c r="B58" s="13">
        <v>50</v>
      </c>
      <c r="C58" s="18">
        <v>160923733171</v>
      </c>
      <c r="D58" s="10">
        <v>2</v>
      </c>
      <c r="E58" s="10">
        <v>2</v>
      </c>
      <c r="F58" s="10">
        <v>2</v>
      </c>
      <c r="G58" s="10">
        <v>7</v>
      </c>
      <c r="H58" s="10"/>
      <c r="I58" s="10"/>
      <c r="J58" s="10"/>
      <c r="K58" s="10">
        <v>7</v>
      </c>
      <c r="L58" s="10"/>
      <c r="M58" s="9">
        <f t="shared" si="4"/>
        <v>20</v>
      </c>
      <c r="N58" s="1"/>
      <c r="O58" s="1"/>
      <c r="P58" s="11">
        <f>SUM(LARGE(R58:T58,{1,2}))</f>
        <v>14</v>
      </c>
      <c r="Q58" s="1"/>
      <c r="R58" s="12">
        <f t="shared" si="0"/>
        <v>7</v>
      </c>
      <c r="S58" s="12">
        <f t="shared" si="1"/>
        <v>0</v>
      </c>
      <c r="T58" s="12">
        <f t="shared" si="2"/>
        <v>7</v>
      </c>
      <c r="U58" s="1"/>
      <c r="V58" s="1"/>
      <c r="W58" s="48" t="s">
        <v>82</v>
      </c>
    </row>
    <row r="59" spans="1:23" ht="21.95" customHeight="1">
      <c r="A59" s="1"/>
      <c r="B59" s="6">
        <v>51</v>
      </c>
      <c r="C59" s="18">
        <v>160923733172</v>
      </c>
      <c r="D59" s="10">
        <v>2</v>
      </c>
      <c r="E59" s="10">
        <v>1</v>
      </c>
      <c r="F59" s="10">
        <v>2</v>
      </c>
      <c r="G59" s="10">
        <v>4</v>
      </c>
      <c r="H59" s="10"/>
      <c r="I59" s="10"/>
      <c r="J59" s="10"/>
      <c r="K59" s="10">
        <v>1</v>
      </c>
      <c r="L59" s="10"/>
      <c r="M59" s="9">
        <f t="shared" si="4"/>
        <v>10</v>
      </c>
      <c r="N59" s="1"/>
      <c r="O59" s="1"/>
      <c r="P59" s="11"/>
      <c r="Q59" s="1"/>
      <c r="R59" s="12">
        <f t="shared" si="0"/>
        <v>4</v>
      </c>
      <c r="S59" s="12"/>
      <c r="T59" s="12">
        <f t="shared" si="2"/>
        <v>1</v>
      </c>
      <c r="U59" s="1"/>
      <c r="V59" s="1"/>
      <c r="W59" s="48" t="s">
        <v>83</v>
      </c>
    </row>
    <row r="60" spans="1:23" ht="21.95" customHeight="1">
      <c r="A60" s="1"/>
      <c r="B60" s="13">
        <v>52</v>
      </c>
      <c r="C60" s="18">
        <v>160923733173</v>
      </c>
      <c r="D60" s="10">
        <v>2</v>
      </c>
      <c r="E60" s="10">
        <v>2</v>
      </c>
      <c r="F60" s="10">
        <v>1</v>
      </c>
      <c r="G60" s="10">
        <v>4</v>
      </c>
      <c r="H60" s="10"/>
      <c r="I60" s="10"/>
      <c r="J60" s="10"/>
      <c r="K60" s="10">
        <v>6</v>
      </c>
      <c r="L60" s="10"/>
      <c r="M60" s="9">
        <f t="shared" si="4"/>
        <v>15</v>
      </c>
      <c r="N60" s="1"/>
      <c r="O60" s="1"/>
      <c r="P60" s="11"/>
      <c r="Q60" s="1"/>
      <c r="R60" s="12">
        <f t="shared" si="0"/>
        <v>4</v>
      </c>
      <c r="S60" s="12"/>
      <c r="T60" s="12">
        <f t="shared" si="2"/>
        <v>6</v>
      </c>
      <c r="U60" s="1"/>
      <c r="V60" s="1"/>
      <c r="W60" s="48" t="s">
        <v>84</v>
      </c>
    </row>
    <row r="61" spans="1:23" ht="21.95" customHeight="1">
      <c r="A61" s="1"/>
      <c r="B61" s="6">
        <v>53</v>
      </c>
      <c r="C61" s="18">
        <v>160923733174</v>
      </c>
      <c r="D61" s="10">
        <v>2</v>
      </c>
      <c r="E61" s="10">
        <v>2</v>
      </c>
      <c r="F61" s="10">
        <v>2</v>
      </c>
      <c r="G61" s="10">
        <v>4</v>
      </c>
      <c r="H61" s="10"/>
      <c r="I61" s="10"/>
      <c r="J61" s="10"/>
      <c r="K61" s="10">
        <v>3</v>
      </c>
      <c r="L61" s="10"/>
      <c r="M61" s="9">
        <f t="shared" si="4"/>
        <v>13</v>
      </c>
      <c r="N61" s="1"/>
      <c r="O61" s="1"/>
      <c r="P61" s="11"/>
      <c r="Q61" s="1"/>
      <c r="R61" s="12">
        <f t="shared" si="0"/>
        <v>4</v>
      </c>
      <c r="S61" s="12"/>
      <c r="T61" s="12">
        <f t="shared" si="2"/>
        <v>3</v>
      </c>
      <c r="U61" s="1"/>
      <c r="V61" s="1"/>
      <c r="W61" s="48" t="s">
        <v>85</v>
      </c>
    </row>
    <row r="62" spans="1:23" ht="21.95" customHeight="1">
      <c r="A62" s="1"/>
      <c r="B62" s="13">
        <v>54</v>
      </c>
      <c r="C62" s="18">
        <v>160923733175</v>
      </c>
      <c r="D62" s="10">
        <v>2</v>
      </c>
      <c r="E62" s="10">
        <v>2</v>
      </c>
      <c r="F62" s="10">
        <v>2</v>
      </c>
      <c r="G62" s="10">
        <v>2</v>
      </c>
      <c r="H62" s="10"/>
      <c r="I62" s="10">
        <v>2</v>
      </c>
      <c r="J62" s="10"/>
      <c r="K62" s="10"/>
      <c r="L62" s="10"/>
      <c r="M62" s="9">
        <f t="shared" si="4"/>
        <v>10</v>
      </c>
      <c r="N62" s="1"/>
      <c r="O62" s="1"/>
      <c r="P62" s="11"/>
      <c r="Q62" s="1"/>
      <c r="R62" s="12">
        <f t="shared" si="0"/>
        <v>2</v>
      </c>
      <c r="S62" s="12"/>
      <c r="T62" s="12"/>
      <c r="U62" s="1"/>
      <c r="V62" s="1"/>
      <c r="W62" s="48" t="s">
        <v>73</v>
      </c>
    </row>
    <row r="63" spans="1:23" ht="21.95" customHeight="1">
      <c r="A63" s="1"/>
      <c r="B63" s="6">
        <v>55</v>
      </c>
      <c r="C63" s="18">
        <v>160923733176</v>
      </c>
      <c r="D63" s="7" t="s">
        <v>31</v>
      </c>
      <c r="E63" s="7" t="s">
        <v>31</v>
      </c>
      <c r="F63" s="7" t="s">
        <v>31</v>
      </c>
      <c r="G63" s="7" t="s">
        <v>31</v>
      </c>
      <c r="H63" s="7" t="s">
        <v>31</v>
      </c>
      <c r="I63" s="7" t="s">
        <v>31</v>
      </c>
      <c r="J63" s="7" t="s">
        <v>31</v>
      </c>
      <c r="K63" s="7" t="s">
        <v>31</v>
      </c>
      <c r="L63" s="7" t="s">
        <v>31</v>
      </c>
      <c r="M63" s="7" t="s">
        <v>31</v>
      </c>
      <c r="N63" s="1"/>
      <c r="O63" s="1"/>
      <c r="P63" s="11"/>
      <c r="Q63" s="1"/>
      <c r="R63" s="12"/>
      <c r="S63" s="12"/>
      <c r="T63" s="12"/>
      <c r="U63" s="1"/>
      <c r="V63" s="1"/>
      <c r="W63" s="48" t="s">
        <v>86</v>
      </c>
    </row>
    <row r="64" spans="1:23" ht="21.95" customHeight="1">
      <c r="A64" s="1"/>
      <c r="B64" s="13">
        <v>56</v>
      </c>
      <c r="C64" s="18">
        <v>160923733178</v>
      </c>
      <c r="D64" s="10">
        <v>2</v>
      </c>
      <c r="E64" s="10"/>
      <c r="F64" s="10">
        <v>2</v>
      </c>
      <c r="G64" s="10">
        <v>6</v>
      </c>
      <c r="H64" s="10"/>
      <c r="I64" s="10"/>
      <c r="J64" s="10"/>
      <c r="K64" s="10"/>
      <c r="L64" s="10"/>
      <c r="M64" s="9">
        <f t="shared" si="4"/>
        <v>10</v>
      </c>
      <c r="N64" s="1"/>
      <c r="O64" s="1"/>
      <c r="P64" s="11"/>
      <c r="Q64" s="1"/>
      <c r="R64" s="12"/>
      <c r="S64" s="12"/>
      <c r="T64" s="12"/>
      <c r="U64" s="1"/>
      <c r="V64" s="1"/>
      <c r="W64" s="48" t="s">
        <v>87</v>
      </c>
    </row>
    <row r="65" spans="1:23" ht="21.95" customHeight="1">
      <c r="A65" s="1"/>
      <c r="B65" s="6">
        <v>57</v>
      </c>
      <c r="C65" s="18">
        <v>160923733179</v>
      </c>
      <c r="D65" s="10">
        <v>2</v>
      </c>
      <c r="E65" s="10">
        <v>2</v>
      </c>
      <c r="F65" s="10">
        <v>2</v>
      </c>
      <c r="G65" s="10">
        <v>5</v>
      </c>
      <c r="H65" s="10"/>
      <c r="I65" s="10"/>
      <c r="J65" s="10"/>
      <c r="K65" s="10">
        <v>4</v>
      </c>
      <c r="L65" s="10"/>
      <c r="M65" s="9">
        <f t="shared" si="4"/>
        <v>15</v>
      </c>
      <c r="N65" s="1"/>
      <c r="O65" s="1"/>
      <c r="P65" s="11"/>
      <c r="Q65" s="1"/>
      <c r="R65" s="12"/>
      <c r="S65" s="12"/>
      <c r="T65" s="12"/>
      <c r="U65" s="1"/>
      <c r="V65" s="1"/>
      <c r="W65" s="48" t="s">
        <v>88</v>
      </c>
    </row>
    <row r="66" spans="1:23" ht="21.95" customHeight="1">
      <c r="A66" s="1"/>
      <c r="B66" s="13">
        <v>58</v>
      </c>
      <c r="C66" s="18">
        <v>160923733180</v>
      </c>
      <c r="D66" s="10">
        <v>2</v>
      </c>
      <c r="E66" s="10">
        <v>0</v>
      </c>
      <c r="F66" s="10">
        <v>1</v>
      </c>
      <c r="G66" s="10">
        <v>3</v>
      </c>
      <c r="H66" s="10"/>
      <c r="I66" s="10"/>
      <c r="J66" s="10"/>
      <c r="K66" s="10">
        <v>7</v>
      </c>
      <c r="L66" s="10"/>
      <c r="M66" s="9">
        <f t="shared" si="4"/>
        <v>13</v>
      </c>
      <c r="N66" s="1"/>
      <c r="O66" s="1"/>
      <c r="P66" s="11"/>
      <c r="Q66" s="1"/>
      <c r="R66" s="12"/>
      <c r="S66" s="12"/>
      <c r="T66" s="12"/>
      <c r="U66" s="1"/>
      <c r="V66" s="1"/>
      <c r="W66" s="48" t="s">
        <v>89</v>
      </c>
    </row>
    <row r="67" spans="1:23" ht="21.95" customHeight="1">
      <c r="A67" s="1"/>
      <c r="B67" s="6">
        <v>59</v>
      </c>
      <c r="C67" s="18">
        <v>160923733313</v>
      </c>
      <c r="D67" s="10">
        <v>2</v>
      </c>
      <c r="E67" s="10">
        <v>0</v>
      </c>
      <c r="F67" s="10">
        <v>2</v>
      </c>
      <c r="G67" s="10">
        <v>4</v>
      </c>
      <c r="H67" s="10"/>
      <c r="I67" s="10"/>
      <c r="J67" s="10"/>
      <c r="K67" s="10"/>
      <c r="L67" s="10"/>
      <c r="M67" s="9">
        <f t="shared" si="4"/>
        <v>8</v>
      </c>
      <c r="N67" s="1"/>
      <c r="O67" s="1"/>
      <c r="P67" s="11"/>
      <c r="Q67" s="1"/>
      <c r="R67" s="12"/>
      <c r="S67" s="12"/>
      <c r="T67" s="12"/>
      <c r="U67" s="1"/>
      <c r="V67" s="1"/>
      <c r="W67" s="49" t="s">
        <v>90</v>
      </c>
    </row>
    <row r="68" spans="1:23" ht="21.95" customHeight="1">
      <c r="A68" s="1"/>
      <c r="B68" s="13">
        <v>60</v>
      </c>
      <c r="C68" s="18">
        <v>160923733314</v>
      </c>
      <c r="D68" s="10">
        <v>2</v>
      </c>
      <c r="E68" s="10">
        <v>2</v>
      </c>
      <c r="F68" s="10">
        <v>2</v>
      </c>
      <c r="G68" s="10">
        <v>3</v>
      </c>
      <c r="H68" s="10"/>
      <c r="I68" s="10"/>
      <c r="J68" s="10"/>
      <c r="K68" s="10">
        <v>4</v>
      </c>
      <c r="L68" s="10"/>
      <c r="M68" s="9">
        <f t="shared" si="4"/>
        <v>13</v>
      </c>
      <c r="N68" s="1"/>
      <c r="O68" s="1"/>
      <c r="P68" s="11"/>
      <c r="Q68" s="1"/>
      <c r="R68" s="12"/>
      <c r="S68" s="12"/>
      <c r="T68" s="12"/>
      <c r="U68" s="1"/>
      <c r="V68" s="1"/>
      <c r="W68" s="50" t="s">
        <v>91</v>
      </c>
    </row>
    <row r="69" spans="1:23" ht="21.95" customHeight="1">
      <c r="A69" s="1"/>
      <c r="B69" s="6">
        <v>61</v>
      </c>
      <c r="C69" s="18">
        <v>160923733315</v>
      </c>
      <c r="D69" s="7" t="s">
        <v>31</v>
      </c>
      <c r="E69" s="7" t="s">
        <v>31</v>
      </c>
      <c r="F69" s="7" t="s">
        <v>31</v>
      </c>
      <c r="G69" s="7" t="s">
        <v>31</v>
      </c>
      <c r="H69" s="7" t="s">
        <v>31</v>
      </c>
      <c r="I69" s="7" t="s">
        <v>31</v>
      </c>
      <c r="J69" s="7" t="s">
        <v>31</v>
      </c>
      <c r="K69" s="7" t="s">
        <v>31</v>
      </c>
      <c r="L69" s="7" t="s">
        <v>31</v>
      </c>
      <c r="M69" s="7" t="s">
        <v>31</v>
      </c>
      <c r="N69" s="1"/>
      <c r="O69" s="1"/>
      <c r="P69" s="11"/>
      <c r="Q69" s="1"/>
      <c r="R69" s="12"/>
      <c r="S69" s="12"/>
      <c r="T69" s="12"/>
      <c r="U69" s="1"/>
      <c r="V69" s="1"/>
      <c r="W69" s="49" t="s">
        <v>92</v>
      </c>
    </row>
    <row r="70" spans="1:23" ht="21.95" customHeight="1">
      <c r="A70" s="1"/>
      <c r="B70" s="13">
        <v>62</v>
      </c>
      <c r="C70" s="18">
        <v>160923733316</v>
      </c>
      <c r="D70" s="10">
        <v>2</v>
      </c>
      <c r="E70" s="10">
        <v>2</v>
      </c>
      <c r="F70" s="10">
        <v>2</v>
      </c>
      <c r="G70" s="10">
        <v>6</v>
      </c>
      <c r="H70" s="10"/>
      <c r="I70" s="10"/>
      <c r="J70" s="10"/>
      <c r="K70" s="10"/>
      <c r="L70" s="10"/>
      <c r="M70" s="9">
        <f t="shared" si="4"/>
        <v>12</v>
      </c>
      <c r="N70" s="1"/>
      <c r="O70" s="1"/>
      <c r="P70" s="11"/>
      <c r="Q70" s="1"/>
      <c r="R70" s="12"/>
      <c r="S70" s="12"/>
      <c r="T70" s="12"/>
      <c r="U70" s="1"/>
      <c r="V70" s="1"/>
      <c r="W70" s="50" t="s">
        <v>93</v>
      </c>
    </row>
    <row r="71" spans="1:23" ht="21.95" customHeight="1">
      <c r="A71" s="1"/>
      <c r="B71" s="6">
        <v>63</v>
      </c>
      <c r="C71" s="18">
        <v>160923733317</v>
      </c>
      <c r="D71" s="10">
        <v>2</v>
      </c>
      <c r="E71" s="10">
        <v>2</v>
      </c>
      <c r="F71" s="10">
        <v>2</v>
      </c>
      <c r="G71" s="10">
        <v>7</v>
      </c>
      <c r="H71" s="10"/>
      <c r="I71" s="10"/>
      <c r="J71" s="10"/>
      <c r="K71" s="10">
        <v>1</v>
      </c>
      <c r="L71" s="10"/>
      <c r="M71" s="9">
        <f t="shared" si="4"/>
        <v>14</v>
      </c>
      <c r="N71" s="1"/>
      <c r="O71" s="1"/>
      <c r="P71" s="11"/>
      <c r="Q71" s="1"/>
      <c r="R71" s="12"/>
      <c r="S71" s="12"/>
      <c r="T71" s="12"/>
      <c r="U71" s="1"/>
      <c r="V71" s="1"/>
      <c r="W71" s="49" t="s">
        <v>94</v>
      </c>
    </row>
    <row r="72" spans="1:23" ht="21.95" customHeight="1">
      <c r="A72" s="1"/>
      <c r="B72" s="13">
        <v>64</v>
      </c>
      <c r="C72" s="18">
        <v>160923733318</v>
      </c>
      <c r="D72" s="10">
        <v>2</v>
      </c>
      <c r="E72" s="10">
        <v>2</v>
      </c>
      <c r="F72" s="10">
        <v>0</v>
      </c>
      <c r="G72" s="10">
        <v>2</v>
      </c>
      <c r="H72" s="10"/>
      <c r="I72" s="10">
        <v>2</v>
      </c>
      <c r="J72" s="10"/>
      <c r="K72" s="10"/>
      <c r="L72" s="10"/>
      <c r="M72" s="9">
        <f t="shared" si="4"/>
        <v>8</v>
      </c>
      <c r="N72" s="1"/>
      <c r="O72" s="1"/>
      <c r="P72" s="11"/>
      <c r="Q72" s="1"/>
      <c r="R72" s="12"/>
      <c r="S72" s="12"/>
      <c r="T72" s="12"/>
      <c r="U72" s="1"/>
      <c r="V72" s="1"/>
      <c r="W72" s="50" t="s">
        <v>95</v>
      </c>
    </row>
    <row r="73" spans="1:23" ht="15.75" customHeight="1">
      <c r="A73" s="1"/>
      <c r="B73" s="22" t="s">
        <v>16</v>
      </c>
      <c r="C73" s="22"/>
      <c r="D73" s="23"/>
      <c r="E73" s="24"/>
      <c r="F73" s="24"/>
      <c r="G73" s="24"/>
      <c r="H73" s="24"/>
      <c r="I73" s="25"/>
      <c r="J73" s="26" t="s">
        <v>18</v>
      </c>
      <c r="K73" s="26"/>
      <c r="L73" s="26"/>
      <c r="M73" s="26"/>
      <c r="N73" s="1"/>
      <c r="O73" s="1"/>
      <c r="P73" s="11">
        <f>SUM(LARGE(R73:T73,{1,2}))</f>
        <v>0</v>
      </c>
      <c r="Q73" s="1"/>
      <c r="R73" s="12">
        <f t="shared" si="0"/>
        <v>0</v>
      </c>
      <c r="S73" s="12">
        <f t="shared" si="1"/>
        <v>0</v>
      </c>
      <c r="T73" s="12">
        <f t="shared" si="2"/>
        <v>0</v>
      </c>
      <c r="U73" s="1"/>
      <c r="V73" s="1"/>
      <c r="W73" s="50"/>
    </row>
    <row r="74" spans="1:23" ht="30" customHeight="1">
      <c r="A74" s="1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1"/>
      <c r="O74" s="1"/>
      <c r="P74" s="11">
        <f>SUM(LARGE(R74:T74,{1,2}))</f>
        <v>0</v>
      </c>
      <c r="Q74" s="1"/>
      <c r="R74" s="12">
        <f t="shared" si="0"/>
        <v>0</v>
      </c>
      <c r="S74" s="12">
        <f t="shared" si="1"/>
        <v>0</v>
      </c>
      <c r="T74" s="12">
        <f t="shared" si="2"/>
        <v>0</v>
      </c>
      <c r="U74" s="1"/>
      <c r="V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1">
        <f>SUM(LARGE(R75:T75,{1,2}))</f>
        <v>0</v>
      </c>
      <c r="Q75" s="1"/>
      <c r="R75" s="12">
        <f t="shared" si="0"/>
        <v>0</v>
      </c>
      <c r="S75" s="12">
        <f t="shared" si="1"/>
        <v>0</v>
      </c>
      <c r="T75" s="12">
        <f t="shared" si="2"/>
        <v>0</v>
      </c>
      <c r="U75" s="1"/>
      <c r="V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1">
        <f>SUM(LARGE(R76:T76,{1,2}))</f>
        <v>0</v>
      </c>
      <c r="Q76" s="1"/>
      <c r="R76" s="12">
        <f t="shared" si="0"/>
        <v>0</v>
      </c>
      <c r="S76" s="12">
        <f t="shared" si="1"/>
        <v>0</v>
      </c>
      <c r="T76" s="12">
        <f t="shared" si="2"/>
        <v>0</v>
      </c>
      <c r="U76" s="1"/>
      <c r="V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1">
        <f>SUM(LARGE(R77:T77,{1,2}))</f>
        <v>0</v>
      </c>
      <c r="Q77" s="1"/>
      <c r="R77" s="12">
        <f t="shared" si="0"/>
        <v>0</v>
      </c>
      <c r="S77" s="12">
        <f t="shared" si="1"/>
        <v>0</v>
      </c>
      <c r="T77" s="12">
        <f t="shared" si="2"/>
        <v>0</v>
      </c>
      <c r="U77" s="1"/>
      <c r="V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1">
        <f>SUM(LARGE(R78:T78,{1,2}))</f>
        <v>0</v>
      </c>
      <c r="Q78" s="1"/>
      <c r="R78" s="12">
        <f t="shared" si="0"/>
        <v>0</v>
      </c>
      <c r="S78" s="12">
        <f t="shared" si="1"/>
        <v>0</v>
      </c>
      <c r="T78" s="12">
        <f t="shared" si="2"/>
        <v>0</v>
      </c>
      <c r="U78" s="1"/>
      <c r="V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1">
        <f>SUM(LARGE(R79:T79,{1,2}))</f>
        <v>0</v>
      </c>
      <c r="Q79" s="1"/>
      <c r="R79" s="12">
        <f t="shared" si="0"/>
        <v>0</v>
      </c>
      <c r="S79" s="12">
        <f t="shared" si="1"/>
        <v>0</v>
      </c>
      <c r="T79" s="12">
        <f t="shared" si="2"/>
        <v>0</v>
      </c>
      <c r="U79" s="1"/>
      <c r="V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1">
        <f>SUM(LARGE(R80:T80,{1,2}))</f>
        <v>0</v>
      </c>
      <c r="Q80" s="1"/>
      <c r="R80" s="12">
        <f t="shared" si="0"/>
        <v>0</v>
      </c>
      <c r="S80" s="12">
        <f t="shared" si="1"/>
        <v>0</v>
      </c>
      <c r="T80" s="12">
        <f t="shared" si="2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1">
        <f>SUM(LARGE(R81:T81,{1,2}))</f>
        <v>0</v>
      </c>
      <c r="Q81" s="1"/>
      <c r="R81" s="12">
        <f t="shared" si="0"/>
        <v>0</v>
      </c>
      <c r="S81" s="12">
        <f t="shared" si="1"/>
        <v>0</v>
      </c>
      <c r="T81" s="12">
        <f t="shared" si="2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1">
        <f>SUM(LARGE(R82:T82,{1,2}))</f>
        <v>0</v>
      </c>
      <c r="Q82" s="1"/>
      <c r="R82" s="12">
        <f t="shared" si="0"/>
        <v>0</v>
      </c>
      <c r="S82" s="12">
        <f t="shared" si="1"/>
        <v>0</v>
      </c>
      <c r="T82" s="12">
        <f t="shared" si="2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1">
        <f>SUM(LARGE(R83:T83,{1,2}))</f>
        <v>0</v>
      </c>
      <c r="Q83" s="1"/>
      <c r="R83" s="12">
        <f t="shared" si="0"/>
        <v>0</v>
      </c>
      <c r="S83" s="12">
        <f t="shared" si="1"/>
        <v>0</v>
      </c>
      <c r="T83" s="12">
        <f t="shared" si="2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1">
        <f>SUM(LARGE(R84:T84,{1,2}))</f>
        <v>0</v>
      </c>
      <c r="Q84" s="1"/>
      <c r="R84" s="12">
        <f t="shared" si="0"/>
        <v>0</v>
      </c>
      <c r="S84" s="12">
        <f t="shared" si="1"/>
        <v>0</v>
      </c>
      <c r="T84" s="12">
        <f t="shared" si="2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1">
        <f>SUM(LARGE(R85:T85,{1,2}))</f>
        <v>0</v>
      </c>
      <c r="Q85" s="1"/>
      <c r="R85" s="12">
        <f t="shared" si="0"/>
        <v>0</v>
      </c>
      <c r="S85" s="12">
        <f t="shared" si="1"/>
        <v>0</v>
      </c>
      <c r="T85" s="12">
        <f t="shared" si="2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/>
    <row r="240" spans="1:2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73:C73"/>
    <mergeCell ref="D73:I73"/>
    <mergeCell ref="J73:M73"/>
    <mergeCell ref="B74:C74"/>
    <mergeCell ref="D74:I74"/>
    <mergeCell ref="J74:M74"/>
    <mergeCell ref="B7:B8"/>
    <mergeCell ref="C7:C8"/>
    <mergeCell ref="D7:F7"/>
    <mergeCell ref="G7:H7"/>
    <mergeCell ref="I7:J7"/>
    <mergeCell ref="K7:L7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W980"/>
  <sheetViews>
    <sheetView workbookViewId="0">
      <selection activeCell="W9" sqref="W9:W72"/>
    </sheetView>
  </sheetViews>
  <sheetFormatPr defaultColWidth="14.42578125" defaultRowHeight="15"/>
  <cols>
    <col min="1" max="1" width="0.85546875" style="2" customWidth="1"/>
    <col min="2" max="2" width="5.5703125" style="2" bestFit="1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16384" width="14.42578125" style="2"/>
  </cols>
  <sheetData>
    <row r="1" spans="1:23" ht="21" customHeight="1">
      <c r="A1" s="1"/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1"/>
      <c r="O1" s="1"/>
      <c r="P1" s="1"/>
      <c r="Q1" s="1"/>
      <c r="R1" s="1"/>
      <c r="S1" s="1"/>
      <c r="T1" s="1"/>
      <c r="U1" s="1"/>
      <c r="V1" s="1"/>
    </row>
    <row r="2" spans="1:23" ht="15.75" customHeight="1">
      <c r="A2" s="1"/>
      <c r="B2" s="37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1"/>
      <c r="O2" s="1"/>
      <c r="P2" s="1"/>
      <c r="Q2" s="1"/>
      <c r="R2" s="1"/>
      <c r="S2" s="1"/>
      <c r="T2" s="1"/>
      <c r="U2" s="1"/>
      <c r="V2" s="1"/>
    </row>
    <row r="3" spans="1:23">
      <c r="A3" s="1"/>
      <c r="B3" s="39" t="s">
        <v>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1"/>
      <c r="O3" s="1"/>
      <c r="P3" s="1"/>
      <c r="Q3" s="1"/>
      <c r="R3" s="1"/>
      <c r="S3" s="1"/>
      <c r="T3" s="1"/>
      <c r="U3" s="1"/>
      <c r="V3" s="1"/>
    </row>
    <row r="4" spans="1:23" ht="16.5" customHeight="1">
      <c r="A4" s="1"/>
      <c r="B4" s="40" t="s">
        <v>25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  <c r="N4" s="1"/>
      <c r="O4" s="1"/>
      <c r="P4" s="1"/>
      <c r="Q4" s="1"/>
      <c r="R4" s="1"/>
      <c r="S4" s="1"/>
      <c r="T4" s="1"/>
      <c r="U4" s="1"/>
      <c r="V4" s="1"/>
    </row>
    <row r="5" spans="1:23" ht="18.75">
      <c r="A5" s="1"/>
      <c r="B5" s="43" t="s">
        <v>24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  <c r="N5" s="1"/>
      <c r="O5" s="1"/>
      <c r="P5" s="1"/>
      <c r="Q5" s="1"/>
      <c r="R5" s="1"/>
      <c r="S5" s="1"/>
      <c r="T5" s="1"/>
      <c r="U5" s="1"/>
      <c r="V5" s="1"/>
    </row>
    <row r="6" spans="1:23" ht="22.5">
      <c r="A6" s="1"/>
      <c r="B6" s="31" t="s">
        <v>3</v>
      </c>
      <c r="C6" s="32"/>
      <c r="D6" s="31" t="s">
        <v>20</v>
      </c>
      <c r="E6" s="33"/>
      <c r="F6" s="33"/>
      <c r="G6" s="33"/>
      <c r="H6" s="33"/>
      <c r="I6" s="33"/>
      <c r="J6" s="33"/>
      <c r="K6" s="3" t="s">
        <v>4</v>
      </c>
      <c r="L6" s="34" t="s">
        <v>27</v>
      </c>
      <c r="M6" s="34"/>
      <c r="N6" s="1"/>
      <c r="O6" s="1"/>
      <c r="P6" s="1"/>
      <c r="Q6" s="1"/>
      <c r="R6" s="1"/>
      <c r="S6" s="1"/>
      <c r="T6" s="1"/>
      <c r="U6" s="1"/>
      <c r="V6" s="1"/>
    </row>
    <row r="7" spans="1:23">
      <c r="A7" s="1"/>
      <c r="B7" s="21" t="s">
        <v>5</v>
      </c>
      <c r="C7" s="28" t="s">
        <v>6</v>
      </c>
      <c r="D7" s="29" t="s">
        <v>7</v>
      </c>
      <c r="E7" s="30"/>
      <c r="F7" s="30"/>
      <c r="G7" s="29" t="s">
        <v>8</v>
      </c>
      <c r="H7" s="30"/>
      <c r="I7" s="29" t="s">
        <v>9</v>
      </c>
      <c r="J7" s="30"/>
      <c r="K7" s="29" t="s">
        <v>10</v>
      </c>
      <c r="L7" s="30"/>
      <c r="M7" s="20" t="s">
        <v>11</v>
      </c>
      <c r="N7" s="4" t="s">
        <v>12</v>
      </c>
      <c r="O7" s="1"/>
      <c r="P7" s="1"/>
      <c r="Q7" s="1"/>
      <c r="R7" s="1"/>
      <c r="S7" s="1"/>
      <c r="T7" s="1"/>
      <c r="U7" s="1"/>
      <c r="V7" s="1"/>
    </row>
    <row r="8" spans="1:23">
      <c r="A8" s="1"/>
      <c r="B8" s="21"/>
      <c r="C8" s="28"/>
      <c r="D8" s="5"/>
      <c r="E8" s="5" t="s">
        <v>14</v>
      </c>
      <c r="F8" s="5" t="s">
        <v>15</v>
      </c>
      <c r="G8" s="5" t="s">
        <v>13</v>
      </c>
      <c r="H8" s="5" t="s">
        <v>14</v>
      </c>
      <c r="I8" s="5" t="s">
        <v>13</v>
      </c>
      <c r="J8" s="5" t="s">
        <v>14</v>
      </c>
      <c r="K8" s="5" t="s">
        <v>13</v>
      </c>
      <c r="L8" s="5" t="s">
        <v>14</v>
      </c>
      <c r="M8" s="21"/>
      <c r="N8" s="4"/>
      <c r="O8" s="1"/>
      <c r="P8" s="1"/>
      <c r="Q8" s="1"/>
      <c r="R8" s="1"/>
      <c r="S8" s="1"/>
      <c r="T8" s="1"/>
      <c r="U8" s="1"/>
      <c r="V8" s="1"/>
    </row>
    <row r="9" spans="1:23" ht="21.95" customHeight="1">
      <c r="A9" s="1"/>
      <c r="B9" s="6">
        <v>1</v>
      </c>
      <c r="C9" s="18">
        <v>160923733121</v>
      </c>
      <c r="D9" s="7"/>
      <c r="E9" s="8">
        <v>1</v>
      </c>
      <c r="F9" s="8">
        <v>2</v>
      </c>
      <c r="G9" s="8"/>
      <c r="H9" s="8"/>
      <c r="I9" s="8">
        <v>3</v>
      </c>
      <c r="J9" s="8"/>
      <c r="K9" s="8">
        <v>3</v>
      </c>
      <c r="L9" s="8">
        <v>4</v>
      </c>
      <c r="M9" s="9">
        <f>SUM(D9:L9)</f>
        <v>13</v>
      </c>
      <c r="N9" s="10" t="str">
        <f>IF(M9&lt;8,"F","P")</f>
        <v>P</v>
      </c>
      <c r="O9" s="1"/>
      <c r="P9" s="11">
        <f>SUM(LARGE(R9:T9,{1,2}))</f>
        <v>10</v>
      </c>
      <c r="Q9" s="1"/>
      <c r="R9" s="12">
        <f t="shared" ref="R9:R85" si="0">SUM(G9:H9)</f>
        <v>0</v>
      </c>
      <c r="S9" s="12">
        <f t="shared" ref="S9:S85" si="1">SUM(I9:J9)</f>
        <v>3</v>
      </c>
      <c r="T9" s="12">
        <f t="shared" ref="T9:T85" si="2">SUM(K9:L9)</f>
        <v>7</v>
      </c>
      <c r="U9" s="1"/>
      <c r="V9" s="1"/>
      <c r="W9" s="48" t="s">
        <v>33</v>
      </c>
    </row>
    <row r="10" spans="1:23" ht="21.95" customHeight="1">
      <c r="A10" s="1"/>
      <c r="B10" s="13">
        <v>2</v>
      </c>
      <c r="C10" s="18">
        <v>160923733122</v>
      </c>
      <c r="D10" s="7"/>
      <c r="E10" s="8"/>
      <c r="F10" s="8">
        <v>2</v>
      </c>
      <c r="G10" s="8">
        <v>3</v>
      </c>
      <c r="H10" s="8">
        <v>4</v>
      </c>
      <c r="I10" s="8"/>
      <c r="J10" s="8"/>
      <c r="K10" s="8">
        <v>3</v>
      </c>
      <c r="L10" s="8">
        <v>4</v>
      </c>
      <c r="M10" s="9">
        <f t="shared" ref="M10:M72" si="3">SUM(D10:L10)</f>
        <v>16</v>
      </c>
      <c r="N10" s="10" t="str">
        <f t="shared" ref="N10:N38" si="4">IF(M10&lt;8,"F","P")</f>
        <v>P</v>
      </c>
      <c r="O10" s="1"/>
      <c r="P10" s="11">
        <f>SUM(LARGE(R10:T10,{1,2}))</f>
        <v>14</v>
      </c>
      <c r="Q10" s="1"/>
      <c r="R10" s="12">
        <f t="shared" si="0"/>
        <v>7</v>
      </c>
      <c r="S10" s="12">
        <f t="shared" si="1"/>
        <v>0</v>
      </c>
      <c r="T10" s="12">
        <f t="shared" si="2"/>
        <v>7</v>
      </c>
      <c r="U10" s="1"/>
      <c r="V10" s="1"/>
      <c r="W10" s="48" t="s">
        <v>34</v>
      </c>
    </row>
    <row r="11" spans="1:23" ht="21.95" customHeight="1">
      <c r="A11" s="1"/>
      <c r="B11" s="6">
        <v>3</v>
      </c>
      <c r="C11" s="18">
        <v>160923733123</v>
      </c>
      <c r="D11" s="7">
        <v>2</v>
      </c>
      <c r="E11" s="8">
        <v>2</v>
      </c>
      <c r="F11" s="8">
        <v>2</v>
      </c>
      <c r="G11" s="8">
        <v>3</v>
      </c>
      <c r="H11" s="8">
        <v>4</v>
      </c>
      <c r="I11" s="8"/>
      <c r="J11" s="8"/>
      <c r="K11" s="8">
        <v>3</v>
      </c>
      <c r="L11" s="8">
        <v>4</v>
      </c>
      <c r="M11" s="9">
        <f t="shared" si="3"/>
        <v>20</v>
      </c>
      <c r="N11" s="10" t="str">
        <f t="shared" si="4"/>
        <v>P</v>
      </c>
      <c r="O11" s="1"/>
      <c r="P11" s="11">
        <f>SUM(LARGE(R11:T11,{1,2}))</f>
        <v>14</v>
      </c>
      <c r="Q11" s="1"/>
      <c r="R11" s="12">
        <f t="shared" si="0"/>
        <v>7</v>
      </c>
      <c r="S11" s="12">
        <f t="shared" si="1"/>
        <v>0</v>
      </c>
      <c r="T11" s="12">
        <f t="shared" si="2"/>
        <v>7</v>
      </c>
      <c r="U11" s="1"/>
      <c r="V11" s="1"/>
      <c r="W11" s="48" t="s">
        <v>35</v>
      </c>
    </row>
    <row r="12" spans="1:23" ht="21.95" customHeight="1">
      <c r="A12" s="1"/>
      <c r="B12" s="13">
        <v>4</v>
      </c>
      <c r="C12" s="18">
        <v>160923733124</v>
      </c>
      <c r="D12" s="7">
        <v>1</v>
      </c>
      <c r="E12" s="8">
        <v>0</v>
      </c>
      <c r="F12" s="8">
        <v>1</v>
      </c>
      <c r="G12" s="8">
        <v>3</v>
      </c>
      <c r="H12" s="8">
        <v>2</v>
      </c>
      <c r="I12" s="8"/>
      <c r="J12" s="8"/>
      <c r="K12" s="8">
        <v>3</v>
      </c>
      <c r="L12" s="8">
        <v>4</v>
      </c>
      <c r="M12" s="9">
        <f t="shared" si="3"/>
        <v>14</v>
      </c>
      <c r="N12" s="10" t="str">
        <f t="shared" si="4"/>
        <v>P</v>
      </c>
      <c r="O12" s="1"/>
      <c r="P12" s="11">
        <f>SUM(LARGE(R12:T12,{1,2}))</f>
        <v>12</v>
      </c>
      <c r="Q12" s="1"/>
      <c r="R12" s="12">
        <f t="shared" si="0"/>
        <v>5</v>
      </c>
      <c r="S12" s="12">
        <f t="shared" si="1"/>
        <v>0</v>
      </c>
      <c r="T12" s="12">
        <f t="shared" si="2"/>
        <v>7</v>
      </c>
      <c r="U12" s="1"/>
      <c r="V12" s="1"/>
      <c r="W12" s="48" t="s">
        <v>36</v>
      </c>
    </row>
    <row r="13" spans="1:23" ht="21.95" customHeight="1">
      <c r="A13" s="1"/>
      <c r="B13" s="6">
        <v>5</v>
      </c>
      <c r="C13" s="18">
        <v>160923733125</v>
      </c>
      <c r="D13" s="7">
        <v>1</v>
      </c>
      <c r="E13" s="8">
        <v>0</v>
      </c>
      <c r="F13" s="8">
        <v>1</v>
      </c>
      <c r="G13" s="8">
        <v>1</v>
      </c>
      <c r="H13" s="8">
        <v>2</v>
      </c>
      <c r="I13" s="8">
        <v>1</v>
      </c>
      <c r="J13" s="8"/>
      <c r="K13" s="8"/>
      <c r="L13" s="8"/>
      <c r="M13" s="9">
        <f t="shared" si="3"/>
        <v>6</v>
      </c>
      <c r="N13" s="10" t="str">
        <f t="shared" si="4"/>
        <v>F</v>
      </c>
      <c r="O13" s="1"/>
      <c r="P13" s="11">
        <f>SUM(LARGE(R13:T13,{1,2}))</f>
        <v>4</v>
      </c>
      <c r="Q13" s="1"/>
      <c r="R13" s="12">
        <f t="shared" si="0"/>
        <v>3</v>
      </c>
      <c r="S13" s="12">
        <f t="shared" si="1"/>
        <v>1</v>
      </c>
      <c r="T13" s="12">
        <f t="shared" si="2"/>
        <v>0</v>
      </c>
      <c r="U13" s="1"/>
      <c r="V13" s="1"/>
      <c r="W13" s="48" t="s">
        <v>37</v>
      </c>
    </row>
    <row r="14" spans="1:23" ht="21.95" customHeight="1">
      <c r="A14" s="1"/>
      <c r="B14" s="13">
        <v>6</v>
      </c>
      <c r="C14" s="18">
        <v>160923733126</v>
      </c>
      <c r="D14" s="7">
        <v>0</v>
      </c>
      <c r="E14" s="8">
        <v>1</v>
      </c>
      <c r="F14" s="8">
        <v>1</v>
      </c>
      <c r="G14" s="8"/>
      <c r="H14" s="8">
        <v>4</v>
      </c>
      <c r="I14" s="8"/>
      <c r="J14" s="8"/>
      <c r="K14" s="8">
        <v>3</v>
      </c>
      <c r="L14" s="8">
        <v>2</v>
      </c>
      <c r="M14" s="9">
        <f t="shared" si="3"/>
        <v>11</v>
      </c>
      <c r="N14" s="10" t="str">
        <f t="shared" si="4"/>
        <v>P</v>
      </c>
      <c r="O14" s="1"/>
      <c r="P14" s="11">
        <f>SUM(LARGE(R14:T14,{1,2}))</f>
        <v>9</v>
      </c>
      <c r="Q14" s="1"/>
      <c r="R14" s="12">
        <f t="shared" si="0"/>
        <v>4</v>
      </c>
      <c r="S14" s="12">
        <f t="shared" si="1"/>
        <v>0</v>
      </c>
      <c r="T14" s="12">
        <f t="shared" si="2"/>
        <v>5</v>
      </c>
      <c r="U14" s="1"/>
      <c r="V14" s="1"/>
      <c r="W14" s="48" t="s">
        <v>38</v>
      </c>
    </row>
    <row r="15" spans="1:23" ht="21.95" customHeight="1">
      <c r="A15" s="1"/>
      <c r="B15" s="6">
        <v>7</v>
      </c>
      <c r="C15" s="18">
        <v>160923733127</v>
      </c>
      <c r="D15" s="7">
        <v>0</v>
      </c>
      <c r="E15" s="8">
        <v>0</v>
      </c>
      <c r="F15" s="8">
        <v>0</v>
      </c>
      <c r="G15" s="8">
        <v>1</v>
      </c>
      <c r="H15" s="8">
        <v>4</v>
      </c>
      <c r="I15" s="8"/>
      <c r="J15" s="8"/>
      <c r="K15" s="8"/>
      <c r="L15" s="8"/>
      <c r="M15" s="9">
        <f t="shared" si="3"/>
        <v>5</v>
      </c>
      <c r="N15" s="10" t="str">
        <f t="shared" si="4"/>
        <v>F</v>
      </c>
      <c r="O15" s="1"/>
      <c r="P15" s="11">
        <f>SUM(LARGE(R15:T15,{1,2}))</f>
        <v>5</v>
      </c>
      <c r="Q15" s="1"/>
      <c r="R15" s="12">
        <f t="shared" si="0"/>
        <v>5</v>
      </c>
      <c r="S15" s="12">
        <f t="shared" si="1"/>
        <v>0</v>
      </c>
      <c r="T15" s="12">
        <f t="shared" si="2"/>
        <v>0</v>
      </c>
      <c r="U15" s="1"/>
      <c r="V15" s="1"/>
      <c r="W15" s="48" t="s">
        <v>39</v>
      </c>
    </row>
    <row r="16" spans="1:23" ht="21.95" customHeight="1">
      <c r="A16" s="1"/>
      <c r="B16" s="13">
        <v>8</v>
      </c>
      <c r="C16" s="18">
        <v>160923733129</v>
      </c>
      <c r="D16" s="7">
        <v>1</v>
      </c>
      <c r="E16" s="8">
        <v>1</v>
      </c>
      <c r="F16" s="8">
        <v>0</v>
      </c>
      <c r="G16" s="8"/>
      <c r="H16" s="8"/>
      <c r="I16" s="8">
        <v>2</v>
      </c>
      <c r="J16" s="8">
        <v>3</v>
      </c>
      <c r="K16" s="8">
        <v>3</v>
      </c>
      <c r="L16" s="8">
        <v>4</v>
      </c>
      <c r="M16" s="9">
        <f t="shared" si="3"/>
        <v>14</v>
      </c>
      <c r="N16" s="10" t="str">
        <f t="shared" si="4"/>
        <v>P</v>
      </c>
      <c r="O16" s="1"/>
      <c r="P16" s="11">
        <f>SUM(LARGE(R16:T16,{1,2}))</f>
        <v>12</v>
      </c>
      <c r="Q16" s="1"/>
      <c r="R16" s="12">
        <f t="shared" si="0"/>
        <v>0</v>
      </c>
      <c r="S16" s="12">
        <f t="shared" si="1"/>
        <v>5</v>
      </c>
      <c r="T16" s="12">
        <f t="shared" si="2"/>
        <v>7</v>
      </c>
      <c r="U16" s="1"/>
      <c r="V16" s="1"/>
      <c r="W16" s="48" t="s">
        <v>40</v>
      </c>
    </row>
    <row r="17" spans="1:23" ht="21.95" customHeight="1">
      <c r="A17" s="1"/>
      <c r="B17" s="6">
        <v>9</v>
      </c>
      <c r="C17" s="18">
        <v>160923733130</v>
      </c>
      <c r="D17" s="7">
        <v>2</v>
      </c>
      <c r="E17" s="8">
        <v>2</v>
      </c>
      <c r="F17" s="8">
        <v>2</v>
      </c>
      <c r="G17" s="8"/>
      <c r="H17" s="8"/>
      <c r="I17" s="8">
        <v>3</v>
      </c>
      <c r="J17" s="8">
        <v>4</v>
      </c>
      <c r="K17" s="8">
        <v>3</v>
      </c>
      <c r="L17" s="8">
        <v>4</v>
      </c>
      <c r="M17" s="9">
        <f t="shared" si="3"/>
        <v>20</v>
      </c>
      <c r="N17" s="10" t="str">
        <f t="shared" si="4"/>
        <v>P</v>
      </c>
      <c r="O17" s="1"/>
      <c r="P17" s="11">
        <f>SUM(LARGE(R17:T17,{1,2}))</f>
        <v>14</v>
      </c>
      <c r="Q17" s="1"/>
      <c r="R17" s="12">
        <f t="shared" si="0"/>
        <v>0</v>
      </c>
      <c r="S17" s="12">
        <f t="shared" si="1"/>
        <v>7</v>
      </c>
      <c r="T17" s="12">
        <f t="shared" si="2"/>
        <v>7</v>
      </c>
      <c r="U17" s="1"/>
      <c r="V17" s="1"/>
      <c r="W17" s="48" t="s">
        <v>41</v>
      </c>
    </row>
    <row r="18" spans="1:23" ht="21.95" customHeight="1">
      <c r="A18" s="1"/>
      <c r="B18" s="13">
        <v>10</v>
      </c>
      <c r="C18" s="18">
        <v>160923733131</v>
      </c>
      <c r="D18" s="7">
        <v>0</v>
      </c>
      <c r="E18" s="8"/>
      <c r="F18" s="8"/>
      <c r="G18" s="8"/>
      <c r="H18" s="8"/>
      <c r="I18" s="8"/>
      <c r="J18" s="8">
        <v>3</v>
      </c>
      <c r="K18" s="8">
        <v>3</v>
      </c>
      <c r="L18" s="8">
        <v>4</v>
      </c>
      <c r="M18" s="9">
        <f t="shared" si="3"/>
        <v>10</v>
      </c>
      <c r="N18" s="10" t="str">
        <f t="shared" si="4"/>
        <v>P</v>
      </c>
      <c r="O18" s="1"/>
      <c r="P18" s="11">
        <f>SUM(LARGE(R18:T18,{1,2}))</f>
        <v>10</v>
      </c>
      <c r="Q18" s="1"/>
      <c r="R18" s="12">
        <f t="shared" si="0"/>
        <v>0</v>
      </c>
      <c r="S18" s="12">
        <f t="shared" si="1"/>
        <v>3</v>
      </c>
      <c r="T18" s="12">
        <f t="shared" si="2"/>
        <v>7</v>
      </c>
      <c r="U18" s="1"/>
      <c r="V18" s="1"/>
      <c r="W18" s="48" t="s">
        <v>42</v>
      </c>
    </row>
    <row r="19" spans="1:23" ht="21.95" customHeight="1">
      <c r="A19" s="1"/>
      <c r="B19" s="6">
        <v>11</v>
      </c>
      <c r="C19" s="18">
        <v>160923733132</v>
      </c>
      <c r="D19" s="7">
        <v>0</v>
      </c>
      <c r="E19" s="8"/>
      <c r="F19" s="8"/>
      <c r="G19" s="8">
        <v>1</v>
      </c>
      <c r="H19" s="8">
        <v>4</v>
      </c>
      <c r="I19" s="8"/>
      <c r="J19" s="8"/>
      <c r="K19" s="8">
        <v>3</v>
      </c>
      <c r="L19" s="8">
        <v>4</v>
      </c>
      <c r="M19" s="9">
        <f t="shared" si="3"/>
        <v>12</v>
      </c>
      <c r="N19" s="10" t="str">
        <f t="shared" si="4"/>
        <v>P</v>
      </c>
      <c r="O19" s="1"/>
      <c r="P19" s="11">
        <f>SUM(LARGE(R19:T19,{1,2}))</f>
        <v>12</v>
      </c>
      <c r="Q19" s="1"/>
      <c r="R19" s="12">
        <f t="shared" si="0"/>
        <v>5</v>
      </c>
      <c r="S19" s="12">
        <f t="shared" si="1"/>
        <v>0</v>
      </c>
      <c r="T19" s="12">
        <f t="shared" si="2"/>
        <v>7</v>
      </c>
      <c r="U19" s="1"/>
      <c r="V19" s="1"/>
      <c r="W19" s="48" t="s">
        <v>43</v>
      </c>
    </row>
    <row r="20" spans="1:23" ht="21.95" customHeight="1">
      <c r="A20" s="1"/>
      <c r="B20" s="13">
        <v>12</v>
      </c>
      <c r="C20" s="18">
        <v>160923733133</v>
      </c>
      <c r="D20" s="7">
        <v>2</v>
      </c>
      <c r="E20" s="8"/>
      <c r="F20" s="8">
        <v>1</v>
      </c>
      <c r="G20" s="8">
        <v>1</v>
      </c>
      <c r="H20" s="8">
        <v>4</v>
      </c>
      <c r="I20" s="8"/>
      <c r="J20" s="8"/>
      <c r="K20" s="8">
        <v>3</v>
      </c>
      <c r="L20" s="8">
        <v>3</v>
      </c>
      <c r="M20" s="9">
        <f t="shared" si="3"/>
        <v>14</v>
      </c>
      <c r="N20" s="10" t="str">
        <f t="shared" si="4"/>
        <v>P</v>
      </c>
      <c r="O20" s="1"/>
      <c r="P20" s="11">
        <f>SUM(LARGE(R20:T20,{1,2}))</f>
        <v>11</v>
      </c>
      <c r="Q20" s="1"/>
      <c r="R20" s="12">
        <f t="shared" si="0"/>
        <v>5</v>
      </c>
      <c r="S20" s="12">
        <f t="shared" si="1"/>
        <v>0</v>
      </c>
      <c r="T20" s="12">
        <f t="shared" si="2"/>
        <v>6</v>
      </c>
      <c r="U20" s="1"/>
      <c r="V20" s="1"/>
      <c r="W20" s="48" t="s">
        <v>44</v>
      </c>
    </row>
    <row r="21" spans="1:23" ht="21.95" customHeight="1">
      <c r="A21" s="1"/>
      <c r="B21" s="6">
        <v>13</v>
      </c>
      <c r="C21" s="18">
        <v>160923733134</v>
      </c>
      <c r="D21" s="7">
        <v>0</v>
      </c>
      <c r="E21" s="8">
        <v>0</v>
      </c>
      <c r="F21" s="8">
        <v>0</v>
      </c>
      <c r="G21" s="8">
        <v>1</v>
      </c>
      <c r="H21" s="8">
        <v>4</v>
      </c>
      <c r="I21" s="8"/>
      <c r="J21" s="8"/>
      <c r="K21" s="8">
        <v>3</v>
      </c>
      <c r="L21" s="8">
        <v>4</v>
      </c>
      <c r="M21" s="9">
        <f t="shared" si="3"/>
        <v>12</v>
      </c>
      <c r="N21" s="10" t="str">
        <f t="shared" si="4"/>
        <v>P</v>
      </c>
      <c r="O21" s="1"/>
      <c r="P21" s="11">
        <f>SUM(LARGE(R21:T21,{1,2}))</f>
        <v>12</v>
      </c>
      <c r="Q21" s="1"/>
      <c r="R21" s="12">
        <f t="shared" si="0"/>
        <v>5</v>
      </c>
      <c r="S21" s="12">
        <f t="shared" si="1"/>
        <v>0</v>
      </c>
      <c r="T21" s="12">
        <f t="shared" si="2"/>
        <v>7</v>
      </c>
      <c r="U21" s="1"/>
      <c r="V21" s="1"/>
      <c r="W21" s="48" t="s">
        <v>45</v>
      </c>
    </row>
    <row r="22" spans="1:23" ht="21.95" customHeight="1">
      <c r="A22" s="1"/>
      <c r="B22" s="13">
        <v>14</v>
      </c>
      <c r="C22" s="18">
        <v>160923733135</v>
      </c>
      <c r="D22" s="7">
        <v>2</v>
      </c>
      <c r="E22" s="8">
        <v>0</v>
      </c>
      <c r="F22" s="8"/>
      <c r="G22" s="8">
        <v>3</v>
      </c>
      <c r="H22" s="8">
        <v>2</v>
      </c>
      <c r="I22" s="8"/>
      <c r="J22" s="8"/>
      <c r="K22" s="8">
        <v>1</v>
      </c>
      <c r="L22" s="8">
        <v>0</v>
      </c>
      <c r="M22" s="9">
        <f t="shared" si="3"/>
        <v>8</v>
      </c>
      <c r="N22" s="10" t="str">
        <f t="shared" si="4"/>
        <v>P</v>
      </c>
      <c r="O22" s="1"/>
      <c r="P22" s="11">
        <f>SUM(LARGE(R22:T22,{1,2}))</f>
        <v>6</v>
      </c>
      <c r="Q22" s="1"/>
      <c r="R22" s="12">
        <f t="shared" si="0"/>
        <v>5</v>
      </c>
      <c r="S22" s="12">
        <f t="shared" si="1"/>
        <v>0</v>
      </c>
      <c r="T22" s="12">
        <f t="shared" si="2"/>
        <v>1</v>
      </c>
      <c r="U22" s="1"/>
      <c r="V22" s="1"/>
      <c r="W22" s="48" t="s">
        <v>46</v>
      </c>
    </row>
    <row r="23" spans="1:23" ht="21.95" customHeight="1">
      <c r="A23" s="1"/>
      <c r="B23" s="6">
        <v>15</v>
      </c>
      <c r="C23" s="18">
        <v>160923733136</v>
      </c>
      <c r="D23" s="7"/>
      <c r="E23" s="8">
        <v>0</v>
      </c>
      <c r="F23" s="8">
        <v>1</v>
      </c>
      <c r="G23" s="8">
        <v>0</v>
      </c>
      <c r="H23" s="8"/>
      <c r="I23" s="8"/>
      <c r="J23" s="8"/>
      <c r="K23" s="8">
        <v>3</v>
      </c>
      <c r="L23" s="8">
        <v>3</v>
      </c>
      <c r="M23" s="9">
        <f t="shared" si="3"/>
        <v>7</v>
      </c>
      <c r="N23" s="10" t="str">
        <f t="shared" si="4"/>
        <v>F</v>
      </c>
      <c r="O23" s="1"/>
      <c r="P23" s="11">
        <f>SUM(LARGE(R23:T23,{1,2}))</f>
        <v>6</v>
      </c>
      <c r="Q23" s="1"/>
      <c r="R23" s="12">
        <f t="shared" si="0"/>
        <v>0</v>
      </c>
      <c r="S23" s="12">
        <f t="shared" si="1"/>
        <v>0</v>
      </c>
      <c r="T23" s="12">
        <f t="shared" si="2"/>
        <v>6</v>
      </c>
      <c r="U23" s="1"/>
      <c r="V23" s="1"/>
      <c r="W23" s="48" t="s">
        <v>47</v>
      </c>
    </row>
    <row r="24" spans="1:23" ht="21.95" customHeight="1">
      <c r="A24" s="1"/>
      <c r="B24" s="13">
        <v>16</v>
      </c>
      <c r="C24" s="18">
        <v>160923733137</v>
      </c>
      <c r="D24" s="7">
        <v>0</v>
      </c>
      <c r="E24" s="8">
        <v>0</v>
      </c>
      <c r="F24" s="8">
        <v>2</v>
      </c>
      <c r="G24" s="8"/>
      <c r="H24" s="8"/>
      <c r="I24" s="8">
        <v>0</v>
      </c>
      <c r="J24" s="8">
        <v>0</v>
      </c>
      <c r="K24" s="8">
        <v>3</v>
      </c>
      <c r="L24" s="8">
        <v>2</v>
      </c>
      <c r="M24" s="9">
        <f t="shared" si="3"/>
        <v>7</v>
      </c>
      <c r="N24" s="10" t="str">
        <f t="shared" si="4"/>
        <v>F</v>
      </c>
      <c r="O24" s="1"/>
      <c r="P24" s="11">
        <f>SUM(LARGE(R24:T24,{1,2}))</f>
        <v>5</v>
      </c>
      <c r="Q24" s="1"/>
      <c r="R24" s="12">
        <f t="shared" si="0"/>
        <v>0</v>
      </c>
      <c r="S24" s="12">
        <f t="shared" si="1"/>
        <v>0</v>
      </c>
      <c r="T24" s="12">
        <f t="shared" si="2"/>
        <v>5</v>
      </c>
      <c r="U24" s="1"/>
      <c r="V24" s="1"/>
      <c r="W24" s="48" t="s">
        <v>48</v>
      </c>
    </row>
    <row r="25" spans="1:23" ht="21.95" customHeight="1">
      <c r="A25" s="1"/>
      <c r="B25" s="6">
        <v>17</v>
      </c>
      <c r="C25" s="18">
        <v>160923733138</v>
      </c>
      <c r="D25" s="7">
        <v>0</v>
      </c>
      <c r="E25" s="8">
        <v>0</v>
      </c>
      <c r="F25" s="8">
        <v>0</v>
      </c>
      <c r="G25" s="8"/>
      <c r="H25" s="8"/>
      <c r="I25" s="8">
        <v>3</v>
      </c>
      <c r="J25" s="8">
        <v>4</v>
      </c>
      <c r="K25" s="8">
        <v>2</v>
      </c>
      <c r="L25" s="8">
        <v>1</v>
      </c>
      <c r="M25" s="9">
        <f t="shared" si="3"/>
        <v>10</v>
      </c>
      <c r="N25" s="10" t="str">
        <f t="shared" si="4"/>
        <v>P</v>
      </c>
      <c r="O25" s="1"/>
      <c r="P25" s="11">
        <f>SUM(LARGE(R25:T25,{1,2}))</f>
        <v>10</v>
      </c>
      <c r="Q25" s="1"/>
      <c r="R25" s="12">
        <f t="shared" si="0"/>
        <v>0</v>
      </c>
      <c r="S25" s="12">
        <f t="shared" si="1"/>
        <v>7</v>
      </c>
      <c r="T25" s="12">
        <f t="shared" si="2"/>
        <v>3</v>
      </c>
      <c r="U25" s="1"/>
      <c r="V25" s="1"/>
      <c r="W25" s="48" t="s">
        <v>49</v>
      </c>
    </row>
    <row r="26" spans="1:23" ht="21.95" customHeight="1">
      <c r="A26" s="1"/>
      <c r="B26" s="13">
        <v>18</v>
      </c>
      <c r="C26" s="18">
        <v>160923733139</v>
      </c>
      <c r="D26" s="7">
        <v>2</v>
      </c>
      <c r="E26" s="8">
        <v>1</v>
      </c>
      <c r="F26" s="8">
        <v>0</v>
      </c>
      <c r="G26" s="8">
        <v>3</v>
      </c>
      <c r="H26" s="8"/>
      <c r="I26" s="8"/>
      <c r="J26" s="8"/>
      <c r="K26" s="8">
        <v>3</v>
      </c>
      <c r="L26" s="8">
        <v>4</v>
      </c>
      <c r="M26" s="9">
        <f t="shared" si="3"/>
        <v>13</v>
      </c>
      <c r="N26" s="10" t="str">
        <f t="shared" si="4"/>
        <v>P</v>
      </c>
      <c r="O26" s="1"/>
      <c r="P26" s="11">
        <f>SUM(LARGE(R26:T26,{1,2}))</f>
        <v>10</v>
      </c>
      <c r="Q26" s="1"/>
      <c r="R26" s="12">
        <f t="shared" si="0"/>
        <v>3</v>
      </c>
      <c r="S26" s="12">
        <f t="shared" si="1"/>
        <v>0</v>
      </c>
      <c r="T26" s="12">
        <f t="shared" si="2"/>
        <v>7</v>
      </c>
      <c r="U26" s="1"/>
      <c r="V26" s="1"/>
      <c r="W26" s="48" t="s">
        <v>50</v>
      </c>
    </row>
    <row r="27" spans="1:23" ht="21.95" customHeight="1">
      <c r="A27" s="1"/>
      <c r="B27" s="6">
        <v>19</v>
      </c>
      <c r="C27" s="18">
        <v>160923733140</v>
      </c>
      <c r="D27" s="7">
        <v>1</v>
      </c>
      <c r="E27" s="8">
        <v>0</v>
      </c>
      <c r="F27" s="8">
        <v>1</v>
      </c>
      <c r="G27" s="8">
        <v>3</v>
      </c>
      <c r="H27" s="8">
        <v>4</v>
      </c>
      <c r="I27" s="8"/>
      <c r="J27" s="8"/>
      <c r="K27" s="8">
        <v>3</v>
      </c>
      <c r="L27" s="8">
        <v>4</v>
      </c>
      <c r="M27" s="9">
        <f t="shared" si="3"/>
        <v>16</v>
      </c>
      <c r="N27" s="10" t="str">
        <f t="shared" si="4"/>
        <v>P</v>
      </c>
      <c r="O27" s="1"/>
      <c r="P27" s="11">
        <f>SUM(LARGE(R27:T27,{1,2}))</f>
        <v>14</v>
      </c>
      <c r="Q27" s="1"/>
      <c r="R27" s="12">
        <f t="shared" si="0"/>
        <v>7</v>
      </c>
      <c r="S27" s="12">
        <f t="shared" si="1"/>
        <v>0</v>
      </c>
      <c r="T27" s="12">
        <f t="shared" si="2"/>
        <v>7</v>
      </c>
      <c r="U27" s="1"/>
      <c r="V27" s="1"/>
      <c r="W27" s="48" t="s">
        <v>51</v>
      </c>
    </row>
    <row r="28" spans="1:23" ht="21.95" customHeight="1">
      <c r="A28" s="1"/>
      <c r="B28" s="13">
        <v>20</v>
      </c>
      <c r="C28" s="18">
        <v>160923733141</v>
      </c>
      <c r="D28" s="7">
        <v>2</v>
      </c>
      <c r="E28" s="8">
        <v>0</v>
      </c>
      <c r="F28" s="8">
        <v>2</v>
      </c>
      <c r="G28" s="8">
        <v>0</v>
      </c>
      <c r="H28" s="8">
        <v>4</v>
      </c>
      <c r="I28" s="8"/>
      <c r="J28" s="8"/>
      <c r="K28" s="8">
        <v>3</v>
      </c>
      <c r="L28" s="8">
        <v>2</v>
      </c>
      <c r="M28" s="9">
        <f t="shared" si="3"/>
        <v>13</v>
      </c>
      <c r="N28" s="10" t="str">
        <f t="shared" si="4"/>
        <v>P</v>
      </c>
      <c r="O28" s="1"/>
      <c r="P28" s="11">
        <f>SUM(LARGE(R28:T28,{1,2}))</f>
        <v>9</v>
      </c>
      <c r="Q28" s="1"/>
      <c r="R28" s="12">
        <f t="shared" si="0"/>
        <v>4</v>
      </c>
      <c r="S28" s="12">
        <f t="shared" si="1"/>
        <v>0</v>
      </c>
      <c r="T28" s="12">
        <f t="shared" si="2"/>
        <v>5</v>
      </c>
      <c r="U28" s="1"/>
      <c r="V28" s="1"/>
      <c r="W28" s="48" t="s">
        <v>52</v>
      </c>
    </row>
    <row r="29" spans="1:23" ht="21.95" customHeight="1">
      <c r="A29" s="1"/>
      <c r="B29" s="6">
        <v>21</v>
      </c>
      <c r="C29" s="18">
        <v>160923733142</v>
      </c>
      <c r="D29" s="7">
        <v>2</v>
      </c>
      <c r="E29" s="8">
        <v>2</v>
      </c>
      <c r="F29" s="8">
        <v>2</v>
      </c>
      <c r="G29" s="8">
        <v>3</v>
      </c>
      <c r="H29" s="8">
        <v>4</v>
      </c>
      <c r="I29" s="8"/>
      <c r="J29" s="8"/>
      <c r="K29" s="8">
        <v>3</v>
      </c>
      <c r="L29" s="8">
        <v>4</v>
      </c>
      <c r="M29" s="9">
        <f t="shared" si="3"/>
        <v>20</v>
      </c>
      <c r="N29" s="10" t="str">
        <f t="shared" si="4"/>
        <v>P</v>
      </c>
      <c r="O29" s="1"/>
      <c r="P29" s="11">
        <f>SUM(LARGE(R29:T29,{1,2}))</f>
        <v>14</v>
      </c>
      <c r="Q29" s="1"/>
      <c r="R29" s="12">
        <f t="shared" si="0"/>
        <v>7</v>
      </c>
      <c r="S29" s="12">
        <f t="shared" si="1"/>
        <v>0</v>
      </c>
      <c r="T29" s="12">
        <f t="shared" si="2"/>
        <v>7</v>
      </c>
      <c r="U29" s="1"/>
      <c r="V29" s="1"/>
      <c r="W29" s="48" t="s">
        <v>53</v>
      </c>
    </row>
    <row r="30" spans="1:23" ht="21.95" customHeight="1">
      <c r="A30" s="1"/>
      <c r="B30" s="13">
        <v>22</v>
      </c>
      <c r="C30" s="18">
        <v>160923733143</v>
      </c>
      <c r="D30" s="7"/>
      <c r="E30" s="8"/>
      <c r="F30" s="8"/>
      <c r="G30" s="8"/>
      <c r="H30" s="8"/>
      <c r="I30" s="8">
        <v>3</v>
      </c>
      <c r="J30" s="8"/>
      <c r="K30" s="8">
        <v>3</v>
      </c>
      <c r="L30" s="8">
        <v>3</v>
      </c>
      <c r="M30" s="9">
        <f t="shared" si="3"/>
        <v>9</v>
      </c>
      <c r="N30" s="10" t="str">
        <f t="shared" si="4"/>
        <v>P</v>
      </c>
      <c r="O30" s="1"/>
      <c r="P30" s="11">
        <f>SUM(LARGE(R30:T30,{1,2}))</f>
        <v>9</v>
      </c>
      <c r="Q30" s="1"/>
      <c r="R30" s="12">
        <f t="shared" si="0"/>
        <v>0</v>
      </c>
      <c r="S30" s="12">
        <f t="shared" si="1"/>
        <v>3</v>
      </c>
      <c r="T30" s="12">
        <f t="shared" si="2"/>
        <v>6</v>
      </c>
      <c r="U30" s="1"/>
      <c r="V30" s="1"/>
      <c r="W30" s="48" t="s">
        <v>54</v>
      </c>
    </row>
    <row r="31" spans="1:23" ht="21.95" customHeight="1">
      <c r="A31" s="1"/>
      <c r="B31" s="6">
        <v>23</v>
      </c>
      <c r="C31" s="18">
        <v>160923733144</v>
      </c>
      <c r="D31" s="7">
        <v>2</v>
      </c>
      <c r="E31" s="8">
        <v>2</v>
      </c>
      <c r="F31" s="8">
        <v>2</v>
      </c>
      <c r="G31" s="8">
        <v>3</v>
      </c>
      <c r="H31" s="8"/>
      <c r="I31" s="8"/>
      <c r="J31" s="8"/>
      <c r="K31" s="8">
        <v>3</v>
      </c>
      <c r="L31" s="8">
        <v>4</v>
      </c>
      <c r="M31" s="9">
        <f t="shared" si="3"/>
        <v>16</v>
      </c>
      <c r="N31" s="10" t="str">
        <f t="shared" si="4"/>
        <v>P</v>
      </c>
      <c r="O31" s="1"/>
      <c r="P31" s="11">
        <f>SUM(LARGE(R31:T31,{1,2}))</f>
        <v>10</v>
      </c>
      <c r="Q31" s="1"/>
      <c r="R31" s="12">
        <f t="shared" si="0"/>
        <v>3</v>
      </c>
      <c r="S31" s="12">
        <f t="shared" si="1"/>
        <v>0</v>
      </c>
      <c r="T31" s="12">
        <f t="shared" si="2"/>
        <v>7</v>
      </c>
      <c r="U31" s="1"/>
      <c r="V31" s="1"/>
      <c r="W31" s="48" t="s">
        <v>55</v>
      </c>
    </row>
    <row r="32" spans="1:23" ht="21.95" customHeight="1">
      <c r="A32" s="1"/>
      <c r="B32" s="13">
        <v>24</v>
      </c>
      <c r="C32" s="18">
        <v>160923733145</v>
      </c>
      <c r="D32" s="7">
        <v>2</v>
      </c>
      <c r="E32" s="8">
        <v>2</v>
      </c>
      <c r="F32" s="8"/>
      <c r="G32" s="8"/>
      <c r="H32" s="8"/>
      <c r="I32" s="8">
        <v>3</v>
      </c>
      <c r="J32" s="8">
        <v>4</v>
      </c>
      <c r="K32" s="8">
        <v>3</v>
      </c>
      <c r="L32" s="8">
        <v>4</v>
      </c>
      <c r="M32" s="9">
        <f t="shared" si="3"/>
        <v>18</v>
      </c>
      <c r="N32" s="10" t="str">
        <f t="shared" si="4"/>
        <v>P</v>
      </c>
      <c r="O32" s="1"/>
      <c r="P32" s="11">
        <f>SUM(LARGE(R32:T32,{1,2}))</f>
        <v>14</v>
      </c>
      <c r="Q32" s="1"/>
      <c r="R32" s="12">
        <f t="shared" si="0"/>
        <v>0</v>
      </c>
      <c r="S32" s="12">
        <f t="shared" si="1"/>
        <v>7</v>
      </c>
      <c r="T32" s="12">
        <f t="shared" si="2"/>
        <v>7</v>
      </c>
      <c r="U32" s="1"/>
      <c r="V32" s="1"/>
      <c r="W32" s="48" t="s">
        <v>56</v>
      </c>
    </row>
    <row r="33" spans="1:23" ht="21.95" customHeight="1">
      <c r="A33" s="1"/>
      <c r="B33" s="6">
        <v>25</v>
      </c>
      <c r="C33" s="18">
        <v>160923733146</v>
      </c>
      <c r="D33" s="7"/>
      <c r="E33" s="8"/>
      <c r="F33" s="8"/>
      <c r="G33" s="8"/>
      <c r="H33" s="8"/>
      <c r="I33" s="8">
        <v>3</v>
      </c>
      <c r="J33" s="8">
        <v>4</v>
      </c>
      <c r="K33" s="8">
        <v>3</v>
      </c>
      <c r="L33" s="8">
        <v>4</v>
      </c>
      <c r="M33" s="9">
        <f t="shared" si="3"/>
        <v>14</v>
      </c>
      <c r="N33" s="10" t="str">
        <f t="shared" si="4"/>
        <v>P</v>
      </c>
      <c r="O33" s="1"/>
      <c r="P33" s="11">
        <f>SUM(LARGE(R33:T33,{1,2}))</f>
        <v>14</v>
      </c>
      <c r="Q33" s="1"/>
      <c r="R33" s="12">
        <f t="shared" si="0"/>
        <v>0</v>
      </c>
      <c r="S33" s="12">
        <f t="shared" si="1"/>
        <v>7</v>
      </c>
      <c r="T33" s="12">
        <f t="shared" si="2"/>
        <v>7</v>
      </c>
      <c r="U33" s="1"/>
      <c r="V33" s="1"/>
      <c r="W33" s="48" t="s">
        <v>57</v>
      </c>
    </row>
    <row r="34" spans="1:23" ht="21.95" customHeight="1">
      <c r="A34" s="1"/>
      <c r="B34" s="13">
        <v>26</v>
      </c>
      <c r="C34" s="18">
        <v>160923733147</v>
      </c>
      <c r="D34" s="7">
        <v>1</v>
      </c>
      <c r="E34" s="8">
        <v>1</v>
      </c>
      <c r="F34" s="8"/>
      <c r="G34" s="8"/>
      <c r="H34" s="8"/>
      <c r="I34" s="8">
        <v>2</v>
      </c>
      <c r="J34" s="8">
        <v>4</v>
      </c>
      <c r="K34" s="8">
        <v>3</v>
      </c>
      <c r="L34" s="8">
        <v>4</v>
      </c>
      <c r="M34" s="9">
        <f t="shared" si="3"/>
        <v>15</v>
      </c>
      <c r="N34" s="10" t="str">
        <f t="shared" si="4"/>
        <v>P</v>
      </c>
      <c r="O34" s="1"/>
      <c r="P34" s="11">
        <f>SUM(LARGE(R34:T34,{1,2}))</f>
        <v>13</v>
      </c>
      <c r="Q34" s="1"/>
      <c r="R34" s="12">
        <f t="shared" si="0"/>
        <v>0</v>
      </c>
      <c r="S34" s="12">
        <f t="shared" si="1"/>
        <v>6</v>
      </c>
      <c r="T34" s="12">
        <f t="shared" si="2"/>
        <v>7</v>
      </c>
      <c r="U34" s="1"/>
      <c r="V34" s="1"/>
      <c r="W34" s="48" t="s">
        <v>58</v>
      </c>
    </row>
    <row r="35" spans="1:23" ht="21.95" customHeight="1">
      <c r="A35" s="1"/>
      <c r="B35" s="6">
        <v>27</v>
      </c>
      <c r="C35" s="18">
        <v>160923733148</v>
      </c>
      <c r="D35" s="7">
        <v>2</v>
      </c>
      <c r="E35" s="8">
        <v>1</v>
      </c>
      <c r="F35" s="8">
        <v>0</v>
      </c>
      <c r="G35" s="8">
        <v>2</v>
      </c>
      <c r="H35" s="8">
        <v>2</v>
      </c>
      <c r="I35" s="8"/>
      <c r="J35" s="8"/>
      <c r="K35" s="8">
        <v>3</v>
      </c>
      <c r="L35" s="8">
        <v>2</v>
      </c>
      <c r="M35" s="9">
        <f t="shared" si="3"/>
        <v>12</v>
      </c>
      <c r="N35" s="10" t="str">
        <f t="shared" si="4"/>
        <v>P</v>
      </c>
      <c r="O35" s="1"/>
      <c r="P35" s="11">
        <f>SUM(LARGE(R35:T35,{1,2}))</f>
        <v>9</v>
      </c>
      <c r="Q35" s="1"/>
      <c r="R35" s="12">
        <f t="shared" si="0"/>
        <v>4</v>
      </c>
      <c r="S35" s="12">
        <f t="shared" si="1"/>
        <v>0</v>
      </c>
      <c r="T35" s="12">
        <f t="shared" si="2"/>
        <v>5</v>
      </c>
      <c r="U35" s="1"/>
      <c r="V35" s="1"/>
      <c r="W35" s="48" t="s">
        <v>59</v>
      </c>
    </row>
    <row r="36" spans="1:23" ht="21.95" customHeight="1">
      <c r="A36" s="1"/>
      <c r="B36" s="13">
        <v>28</v>
      </c>
      <c r="C36" s="18">
        <v>160923733149</v>
      </c>
      <c r="D36" s="7">
        <v>0</v>
      </c>
      <c r="E36" s="8">
        <v>0</v>
      </c>
      <c r="F36" s="8">
        <v>1</v>
      </c>
      <c r="G36" s="8"/>
      <c r="H36" s="8"/>
      <c r="I36" s="8"/>
      <c r="J36" s="8"/>
      <c r="K36" s="8">
        <v>2</v>
      </c>
      <c r="L36" s="8">
        <v>2</v>
      </c>
      <c r="M36" s="9">
        <f t="shared" si="3"/>
        <v>5</v>
      </c>
      <c r="N36" s="10" t="str">
        <f t="shared" si="4"/>
        <v>F</v>
      </c>
      <c r="O36" s="1"/>
      <c r="P36" s="11">
        <f>SUM(LARGE(R36:T36,{1,2}))</f>
        <v>4</v>
      </c>
      <c r="Q36" s="1"/>
      <c r="R36" s="12">
        <f t="shared" si="0"/>
        <v>0</v>
      </c>
      <c r="S36" s="12">
        <f t="shared" si="1"/>
        <v>0</v>
      </c>
      <c r="T36" s="12">
        <f t="shared" si="2"/>
        <v>4</v>
      </c>
      <c r="U36" s="1"/>
      <c r="V36" s="1"/>
      <c r="W36" s="48" t="s">
        <v>60</v>
      </c>
    </row>
    <row r="37" spans="1:23" ht="21.95" customHeight="1">
      <c r="A37" s="1"/>
      <c r="B37" s="6">
        <v>29</v>
      </c>
      <c r="C37" s="18">
        <v>160923733150</v>
      </c>
      <c r="D37" s="14">
        <v>0</v>
      </c>
      <c r="E37" s="15"/>
      <c r="F37" s="15">
        <v>2</v>
      </c>
      <c r="G37" s="15"/>
      <c r="H37" s="15"/>
      <c r="I37" s="15"/>
      <c r="J37" s="15"/>
      <c r="K37" s="15">
        <v>3</v>
      </c>
      <c r="L37" s="15">
        <v>2</v>
      </c>
      <c r="M37" s="9">
        <f t="shared" si="3"/>
        <v>7</v>
      </c>
      <c r="N37" s="10" t="str">
        <f t="shared" si="4"/>
        <v>F</v>
      </c>
      <c r="O37" s="1"/>
      <c r="P37" s="11">
        <f>SUM(LARGE(R37:T37,{1,2}))</f>
        <v>5</v>
      </c>
      <c r="Q37" s="1"/>
      <c r="R37" s="12">
        <f t="shared" si="0"/>
        <v>0</v>
      </c>
      <c r="S37" s="12">
        <f t="shared" si="1"/>
        <v>0</v>
      </c>
      <c r="T37" s="12">
        <f t="shared" si="2"/>
        <v>5</v>
      </c>
      <c r="U37" s="1"/>
      <c r="V37" s="1"/>
      <c r="W37" s="48" t="s">
        <v>61</v>
      </c>
    </row>
    <row r="38" spans="1:23" ht="21.95" customHeight="1">
      <c r="A38" s="1"/>
      <c r="B38" s="13">
        <v>30</v>
      </c>
      <c r="C38" s="18">
        <v>160923733151</v>
      </c>
      <c r="D38" s="8">
        <v>0</v>
      </c>
      <c r="E38" s="8">
        <v>2</v>
      </c>
      <c r="F38" s="8">
        <v>2</v>
      </c>
      <c r="G38" s="8"/>
      <c r="H38" s="8">
        <v>4</v>
      </c>
      <c r="I38" s="8"/>
      <c r="J38" s="8"/>
      <c r="K38" s="8">
        <v>3</v>
      </c>
      <c r="L38" s="8">
        <v>2</v>
      </c>
      <c r="M38" s="9">
        <f t="shared" si="3"/>
        <v>13</v>
      </c>
      <c r="N38" s="17" t="str">
        <f t="shared" si="4"/>
        <v>P</v>
      </c>
      <c r="O38" s="1"/>
      <c r="P38" s="11">
        <f>SUM(LARGE(R38:T38,{1,2}))</f>
        <v>9</v>
      </c>
      <c r="Q38" s="1"/>
      <c r="R38" s="12">
        <f t="shared" si="0"/>
        <v>4</v>
      </c>
      <c r="S38" s="12">
        <f t="shared" si="1"/>
        <v>0</v>
      </c>
      <c r="T38" s="12">
        <f t="shared" si="2"/>
        <v>5</v>
      </c>
      <c r="U38" s="1"/>
      <c r="V38" s="1"/>
      <c r="W38" s="48" t="s">
        <v>62</v>
      </c>
    </row>
    <row r="39" spans="1:23" ht="21.95" customHeight="1">
      <c r="A39" s="1"/>
      <c r="B39" s="6">
        <v>31</v>
      </c>
      <c r="C39" s="18">
        <v>160923733152</v>
      </c>
      <c r="D39" s="10">
        <v>2</v>
      </c>
      <c r="E39" s="10">
        <v>1</v>
      </c>
      <c r="F39" s="10">
        <v>1</v>
      </c>
      <c r="G39" s="10">
        <v>2</v>
      </c>
      <c r="H39" s="10">
        <v>3</v>
      </c>
      <c r="I39" s="10"/>
      <c r="J39" s="10"/>
      <c r="K39" s="10">
        <v>3</v>
      </c>
      <c r="L39" s="10">
        <v>4</v>
      </c>
      <c r="M39" s="9">
        <f t="shared" si="3"/>
        <v>16</v>
      </c>
      <c r="N39" s="1"/>
      <c r="O39" s="1"/>
      <c r="P39" s="11">
        <f>SUM(LARGE(R39:T39,{1,2}))</f>
        <v>12</v>
      </c>
      <c r="Q39" s="1"/>
      <c r="R39" s="12">
        <f t="shared" si="0"/>
        <v>5</v>
      </c>
      <c r="S39" s="12">
        <f t="shared" si="1"/>
        <v>0</v>
      </c>
      <c r="T39" s="12">
        <f t="shared" si="2"/>
        <v>7</v>
      </c>
      <c r="U39" s="1"/>
      <c r="V39" s="1"/>
      <c r="W39" s="48" t="s">
        <v>63</v>
      </c>
    </row>
    <row r="40" spans="1:23" ht="21.95" customHeight="1">
      <c r="A40" s="1"/>
      <c r="B40" s="13">
        <v>32</v>
      </c>
      <c r="C40" s="18">
        <v>160923733153</v>
      </c>
      <c r="D40" s="10">
        <v>2</v>
      </c>
      <c r="E40" s="10">
        <v>1</v>
      </c>
      <c r="F40" s="10">
        <v>1</v>
      </c>
      <c r="G40" s="10">
        <v>3</v>
      </c>
      <c r="H40" s="10">
        <v>2</v>
      </c>
      <c r="I40" s="10"/>
      <c r="J40" s="10"/>
      <c r="K40" s="10">
        <v>3</v>
      </c>
      <c r="L40" s="10">
        <v>4</v>
      </c>
      <c r="M40" s="9">
        <f t="shared" si="3"/>
        <v>16</v>
      </c>
      <c r="N40" s="1"/>
      <c r="O40" s="1"/>
      <c r="P40" s="11">
        <f>SUM(LARGE(R40:T40,{1,2}))</f>
        <v>12</v>
      </c>
      <c r="Q40" s="1"/>
      <c r="R40" s="12">
        <f t="shared" si="0"/>
        <v>5</v>
      </c>
      <c r="S40" s="12">
        <f t="shared" si="1"/>
        <v>0</v>
      </c>
      <c r="T40" s="12">
        <f t="shared" si="2"/>
        <v>7</v>
      </c>
      <c r="U40" s="1"/>
      <c r="V40" s="1"/>
      <c r="W40" s="48" t="s">
        <v>64</v>
      </c>
    </row>
    <row r="41" spans="1:23" ht="21.95" customHeight="1">
      <c r="A41" s="1"/>
      <c r="B41" s="6">
        <v>33</v>
      </c>
      <c r="C41" s="18">
        <v>160923733154</v>
      </c>
      <c r="D41" s="10">
        <v>2</v>
      </c>
      <c r="E41" s="10">
        <v>0</v>
      </c>
      <c r="F41" s="10">
        <v>0</v>
      </c>
      <c r="G41" s="10">
        <v>1</v>
      </c>
      <c r="H41" s="10">
        <v>4</v>
      </c>
      <c r="I41" s="10"/>
      <c r="J41" s="10"/>
      <c r="K41" s="10">
        <v>3</v>
      </c>
      <c r="L41" s="10">
        <v>3</v>
      </c>
      <c r="M41" s="9">
        <f t="shared" si="3"/>
        <v>13</v>
      </c>
      <c r="N41" s="1"/>
      <c r="O41" s="1"/>
      <c r="P41" s="11">
        <f>SUM(LARGE(R41:T41,{1,2}))</f>
        <v>11</v>
      </c>
      <c r="Q41" s="1"/>
      <c r="R41" s="12">
        <f t="shared" si="0"/>
        <v>5</v>
      </c>
      <c r="S41" s="12">
        <f t="shared" si="1"/>
        <v>0</v>
      </c>
      <c r="T41" s="12">
        <f t="shared" si="2"/>
        <v>6</v>
      </c>
      <c r="U41" s="1"/>
      <c r="V41" s="1"/>
      <c r="W41" s="48" t="s">
        <v>65</v>
      </c>
    </row>
    <row r="42" spans="1:23" ht="21.95" customHeight="1">
      <c r="A42" s="1"/>
      <c r="B42" s="13">
        <v>34</v>
      </c>
      <c r="C42" s="18">
        <v>160923733155</v>
      </c>
      <c r="D42" s="10"/>
      <c r="E42" s="10"/>
      <c r="F42" s="10">
        <v>0</v>
      </c>
      <c r="G42" s="10">
        <v>1</v>
      </c>
      <c r="H42" s="10">
        <v>1</v>
      </c>
      <c r="I42" s="10"/>
      <c r="J42" s="10"/>
      <c r="K42" s="10">
        <v>1</v>
      </c>
      <c r="L42" s="10"/>
      <c r="M42" s="9">
        <f t="shared" si="3"/>
        <v>3</v>
      </c>
      <c r="N42" s="1"/>
      <c r="O42" s="1"/>
      <c r="P42" s="11">
        <f>SUM(LARGE(R42:T42,{1,2}))</f>
        <v>3</v>
      </c>
      <c r="Q42" s="1"/>
      <c r="R42" s="12">
        <f t="shared" si="0"/>
        <v>2</v>
      </c>
      <c r="S42" s="12">
        <f t="shared" si="1"/>
        <v>0</v>
      </c>
      <c r="T42" s="12">
        <f t="shared" si="2"/>
        <v>1</v>
      </c>
      <c r="U42" s="1"/>
      <c r="V42" s="1"/>
      <c r="W42" s="48" t="s">
        <v>66</v>
      </c>
    </row>
    <row r="43" spans="1:23" ht="21.95" customHeight="1">
      <c r="A43" s="1"/>
      <c r="B43" s="6">
        <v>35</v>
      </c>
      <c r="C43" s="18">
        <v>160923733156</v>
      </c>
      <c r="D43" s="10">
        <v>0</v>
      </c>
      <c r="E43" s="10">
        <v>2</v>
      </c>
      <c r="F43" s="10">
        <v>1</v>
      </c>
      <c r="G43" s="10">
        <v>3</v>
      </c>
      <c r="H43" s="10">
        <v>4</v>
      </c>
      <c r="I43" s="10"/>
      <c r="J43" s="10"/>
      <c r="K43" s="10">
        <v>2</v>
      </c>
      <c r="L43" s="10">
        <v>1</v>
      </c>
      <c r="M43" s="9">
        <f t="shared" si="3"/>
        <v>13</v>
      </c>
      <c r="N43" s="1"/>
      <c r="O43" s="1"/>
      <c r="P43" s="11">
        <f>SUM(LARGE(R43:T43,{1,2}))</f>
        <v>10</v>
      </c>
      <c r="Q43" s="1"/>
      <c r="R43" s="12">
        <f t="shared" si="0"/>
        <v>7</v>
      </c>
      <c r="S43" s="12">
        <f t="shared" si="1"/>
        <v>0</v>
      </c>
      <c r="T43" s="12">
        <f t="shared" si="2"/>
        <v>3</v>
      </c>
      <c r="U43" s="1"/>
      <c r="V43" s="1"/>
      <c r="W43" s="48" t="s">
        <v>67</v>
      </c>
    </row>
    <row r="44" spans="1:23" ht="21.95" customHeight="1">
      <c r="A44" s="1"/>
      <c r="B44" s="13">
        <v>36</v>
      </c>
      <c r="C44" s="18">
        <v>160923733157</v>
      </c>
      <c r="D44" s="10">
        <v>1</v>
      </c>
      <c r="E44" s="10"/>
      <c r="F44" s="10"/>
      <c r="G44" s="10">
        <v>3</v>
      </c>
      <c r="H44" s="10">
        <v>4</v>
      </c>
      <c r="I44" s="10"/>
      <c r="J44" s="10"/>
      <c r="K44" s="10">
        <v>3</v>
      </c>
      <c r="L44" s="10">
        <v>4</v>
      </c>
      <c r="M44" s="9">
        <f t="shared" si="3"/>
        <v>15</v>
      </c>
      <c r="N44" s="1"/>
      <c r="O44" s="1"/>
      <c r="P44" s="11">
        <f>SUM(LARGE(R44:T44,{1,2}))</f>
        <v>14</v>
      </c>
      <c r="Q44" s="1"/>
      <c r="R44" s="12">
        <f t="shared" si="0"/>
        <v>7</v>
      </c>
      <c r="S44" s="12">
        <f t="shared" si="1"/>
        <v>0</v>
      </c>
      <c r="T44" s="12">
        <f t="shared" si="2"/>
        <v>7</v>
      </c>
      <c r="U44" s="1"/>
      <c r="V44" s="1"/>
      <c r="W44" s="48" t="s">
        <v>68</v>
      </c>
    </row>
    <row r="45" spans="1:23" ht="21.95" customHeight="1">
      <c r="A45" s="1"/>
      <c r="B45" s="6">
        <v>37</v>
      </c>
      <c r="C45" s="18">
        <v>160923733158</v>
      </c>
      <c r="D45" s="10"/>
      <c r="E45" s="10"/>
      <c r="F45" s="10"/>
      <c r="G45" s="10">
        <v>3</v>
      </c>
      <c r="H45" s="10">
        <v>4</v>
      </c>
      <c r="I45" s="10"/>
      <c r="J45" s="10"/>
      <c r="K45" s="10">
        <v>3</v>
      </c>
      <c r="L45" s="10">
        <v>4</v>
      </c>
      <c r="M45" s="9">
        <f t="shared" si="3"/>
        <v>14</v>
      </c>
      <c r="N45" s="1"/>
      <c r="O45" s="1"/>
      <c r="P45" s="11">
        <f>SUM(LARGE(R45:T45,{1,2}))</f>
        <v>14</v>
      </c>
      <c r="Q45" s="1"/>
      <c r="R45" s="12">
        <f t="shared" si="0"/>
        <v>7</v>
      </c>
      <c r="S45" s="12">
        <f t="shared" si="1"/>
        <v>0</v>
      </c>
      <c r="T45" s="12">
        <f t="shared" si="2"/>
        <v>7</v>
      </c>
      <c r="U45" s="1"/>
      <c r="V45" s="1"/>
      <c r="W45" s="48" t="s">
        <v>69</v>
      </c>
    </row>
    <row r="46" spans="1:23" ht="21.95" customHeight="1">
      <c r="A46" s="1"/>
      <c r="B46" s="13">
        <v>38</v>
      </c>
      <c r="C46" s="18">
        <v>160923733159</v>
      </c>
      <c r="D46" s="10"/>
      <c r="E46" s="10"/>
      <c r="F46" s="10"/>
      <c r="G46" s="10"/>
      <c r="H46" s="10">
        <v>4</v>
      </c>
      <c r="I46" s="10"/>
      <c r="J46" s="10"/>
      <c r="K46" s="10"/>
      <c r="L46" s="10"/>
      <c r="M46" s="9">
        <f t="shared" si="3"/>
        <v>4</v>
      </c>
      <c r="N46" s="1"/>
      <c r="O46" s="1"/>
      <c r="P46" s="11">
        <f>SUM(LARGE(R46:T46,{1,2}))</f>
        <v>4</v>
      </c>
      <c r="Q46" s="1"/>
      <c r="R46" s="12">
        <f t="shared" si="0"/>
        <v>4</v>
      </c>
      <c r="S46" s="12">
        <f t="shared" si="1"/>
        <v>0</v>
      </c>
      <c r="T46" s="12">
        <f t="shared" si="2"/>
        <v>0</v>
      </c>
      <c r="U46" s="1"/>
      <c r="V46" s="1"/>
      <c r="W46" s="48" t="s">
        <v>70</v>
      </c>
    </row>
    <row r="47" spans="1:23" ht="21.95" customHeight="1">
      <c r="A47" s="1"/>
      <c r="B47" s="6">
        <v>39</v>
      </c>
      <c r="C47" s="18">
        <v>160923733160</v>
      </c>
      <c r="D47" s="10">
        <v>0</v>
      </c>
      <c r="E47" s="10"/>
      <c r="F47" s="10"/>
      <c r="G47" s="10"/>
      <c r="H47" s="10"/>
      <c r="I47" s="10"/>
      <c r="J47" s="10"/>
      <c r="K47" s="10">
        <v>3</v>
      </c>
      <c r="L47" s="10">
        <v>2</v>
      </c>
      <c r="M47" s="9">
        <f t="shared" si="3"/>
        <v>5</v>
      </c>
      <c r="N47" s="1"/>
      <c r="O47" s="1"/>
      <c r="P47" s="11">
        <f>SUM(LARGE(R47:T47,{1,2}))</f>
        <v>5</v>
      </c>
      <c r="Q47" s="1"/>
      <c r="R47" s="12">
        <f t="shared" si="0"/>
        <v>0</v>
      </c>
      <c r="S47" s="12">
        <f t="shared" si="1"/>
        <v>0</v>
      </c>
      <c r="T47" s="12">
        <f t="shared" si="2"/>
        <v>5</v>
      </c>
      <c r="U47" s="1"/>
      <c r="V47" s="1"/>
      <c r="W47" s="48" t="s">
        <v>71</v>
      </c>
    </row>
    <row r="48" spans="1:23" ht="21.95" customHeight="1">
      <c r="A48" s="1"/>
      <c r="B48" s="13">
        <v>40</v>
      </c>
      <c r="C48" s="18">
        <v>160923733161</v>
      </c>
      <c r="D48" s="10"/>
      <c r="E48" s="10"/>
      <c r="F48" s="10"/>
      <c r="G48" s="10">
        <v>1</v>
      </c>
      <c r="H48" s="10">
        <v>4</v>
      </c>
      <c r="I48" s="10"/>
      <c r="J48" s="10"/>
      <c r="K48" s="10">
        <v>1</v>
      </c>
      <c r="L48" s="10">
        <v>1</v>
      </c>
      <c r="M48" s="9">
        <f t="shared" si="3"/>
        <v>7</v>
      </c>
      <c r="N48" s="1"/>
      <c r="O48" s="1"/>
      <c r="P48" s="11">
        <f>SUM(LARGE(R48:T48,{1,2}))</f>
        <v>7</v>
      </c>
      <c r="Q48" s="1"/>
      <c r="R48" s="12">
        <f t="shared" si="0"/>
        <v>5</v>
      </c>
      <c r="S48" s="12">
        <f t="shared" si="1"/>
        <v>0</v>
      </c>
      <c r="T48" s="12">
        <f t="shared" si="2"/>
        <v>2</v>
      </c>
      <c r="U48" s="1"/>
      <c r="V48" s="1"/>
      <c r="W48" s="48" t="s">
        <v>72</v>
      </c>
    </row>
    <row r="49" spans="1:23" ht="21.95" customHeight="1">
      <c r="A49" s="1"/>
      <c r="B49" s="6">
        <v>41</v>
      </c>
      <c r="C49" s="18">
        <v>160923733162</v>
      </c>
      <c r="D49" s="10"/>
      <c r="E49" s="10"/>
      <c r="F49" s="10"/>
      <c r="G49" s="10">
        <v>2</v>
      </c>
      <c r="H49" s="10">
        <v>4</v>
      </c>
      <c r="I49" s="10"/>
      <c r="J49" s="10"/>
      <c r="K49" s="10">
        <v>3</v>
      </c>
      <c r="L49" s="10">
        <v>4</v>
      </c>
      <c r="M49" s="9">
        <f t="shared" si="3"/>
        <v>13</v>
      </c>
      <c r="N49" s="1"/>
      <c r="O49" s="1"/>
      <c r="P49" s="11">
        <f>SUM(LARGE(R49:T49,{1,2}))</f>
        <v>13</v>
      </c>
      <c r="Q49" s="1"/>
      <c r="R49" s="12">
        <f t="shared" si="0"/>
        <v>6</v>
      </c>
      <c r="S49" s="12">
        <f t="shared" si="1"/>
        <v>0</v>
      </c>
      <c r="T49" s="12">
        <f t="shared" si="2"/>
        <v>7</v>
      </c>
      <c r="U49" s="1"/>
      <c r="V49" s="1"/>
      <c r="W49" s="48" t="s">
        <v>73</v>
      </c>
    </row>
    <row r="50" spans="1:23" ht="21.95" customHeight="1">
      <c r="A50" s="1"/>
      <c r="B50" s="13">
        <v>42</v>
      </c>
      <c r="C50" s="18">
        <v>160923733163</v>
      </c>
      <c r="D50" s="10"/>
      <c r="E50" s="10"/>
      <c r="F50" s="10">
        <v>2</v>
      </c>
      <c r="G50" s="10">
        <v>1</v>
      </c>
      <c r="H50" s="10">
        <v>1</v>
      </c>
      <c r="I50" s="10"/>
      <c r="J50" s="10"/>
      <c r="K50" s="10">
        <v>3</v>
      </c>
      <c r="L50" s="10">
        <v>4</v>
      </c>
      <c r="M50" s="9">
        <f t="shared" si="3"/>
        <v>11</v>
      </c>
      <c r="N50" s="1"/>
      <c r="O50" s="1"/>
      <c r="P50" s="11">
        <f>SUM(LARGE(R50:T50,{1,2}))</f>
        <v>9</v>
      </c>
      <c r="Q50" s="1"/>
      <c r="R50" s="12">
        <f t="shared" si="0"/>
        <v>2</v>
      </c>
      <c r="S50" s="12">
        <f t="shared" si="1"/>
        <v>0</v>
      </c>
      <c r="T50" s="12">
        <f t="shared" si="2"/>
        <v>7</v>
      </c>
      <c r="U50" s="1"/>
      <c r="V50" s="1"/>
      <c r="W50" s="48" t="s">
        <v>74</v>
      </c>
    </row>
    <row r="51" spans="1:23" ht="21.95" customHeight="1">
      <c r="A51" s="1"/>
      <c r="B51" s="6">
        <v>43</v>
      </c>
      <c r="C51" s="18">
        <v>160923733164</v>
      </c>
      <c r="D51" s="10"/>
      <c r="E51" s="10"/>
      <c r="F51" s="10"/>
      <c r="G51" s="10"/>
      <c r="H51" s="10"/>
      <c r="I51" s="10"/>
      <c r="J51" s="10"/>
      <c r="K51" s="10">
        <v>1</v>
      </c>
      <c r="L51" s="10"/>
      <c r="M51" s="9">
        <f t="shared" si="3"/>
        <v>1</v>
      </c>
      <c r="N51" s="1"/>
      <c r="O51" s="1"/>
      <c r="P51" s="11">
        <f>SUM(LARGE(R51:T51,{1,2}))</f>
        <v>1</v>
      </c>
      <c r="Q51" s="1"/>
      <c r="R51" s="12">
        <f t="shared" si="0"/>
        <v>0</v>
      </c>
      <c r="S51" s="12">
        <f t="shared" si="1"/>
        <v>0</v>
      </c>
      <c r="T51" s="12">
        <f t="shared" si="2"/>
        <v>1</v>
      </c>
      <c r="U51" s="1"/>
      <c r="V51" s="1"/>
      <c r="W51" s="48" t="s">
        <v>75</v>
      </c>
    </row>
    <row r="52" spans="1:23" ht="21.95" customHeight="1">
      <c r="A52" s="1"/>
      <c r="B52" s="13">
        <v>44</v>
      </c>
      <c r="C52" s="18">
        <v>160923733165</v>
      </c>
      <c r="D52" s="10"/>
      <c r="E52" s="10"/>
      <c r="F52" s="10"/>
      <c r="G52" s="10"/>
      <c r="H52" s="10"/>
      <c r="I52" s="10"/>
      <c r="J52" s="10"/>
      <c r="K52" s="10">
        <v>2</v>
      </c>
      <c r="L52" s="10">
        <v>2</v>
      </c>
      <c r="M52" s="9">
        <f t="shared" si="3"/>
        <v>4</v>
      </c>
      <c r="N52" s="1"/>
      <c r="O52" s="1"/>
      <c r="P52" s="11">
        <f>SUM(LARGE(R52:T52,{1,2}))</f>
        <v>4</v>
      </c>
      <c r="Q52" s="1"/>
      <c r="R52" s="12">
        <f t="shared" si="0"/>
        <v>0</v>
      </c>
      <c r="S52" s="12">
        <f t="shared" si="1"/>
        <v>0</v>
      </c>
      <c r="T52" s="12">
        <f t="shared" si="2"/>
        <v>4</v>
      </c>
      <c r="U52" s="1"/>
      <c r="V52" s="1"/>
      <c r="W52" s="48" t="s">
        <v>76</v>
      </c>
    </row>
    <row r="53" spans="1:23" ht="21.95" customHeight="1">
      <c r="A53" s="1"/>
      <c r="B53" s="6">
        <v>45</v>
      </c>
      <c r="C53" s="18">
        <v>160923733166</v>
      </c>
      <c r="D53" s="10"/>
      <c r="E53" s="10"/>
      <c r="F53" s="10"/>
      <c r="G53" s="10">
        <v>2</v>
      </c>
      <c r="H53" s="10">
        <v>4</v>
      </c>
      <c r="I53" s="10"/>
      <c r="J53" s="10"/>
      <c r="K53" s="10">
        <v>2</v>
      </c>
      <c r="L53" s="10">
        <v>3</v>
      </c>
      <c r="M53" s="9">
        <f t="shared" si="3"/>
        <v>11</v>
      </c>
      <c r="N53" s="1"/>
      <c r="O53" s="1"/>
      <c r="P53" s="11">
        <f>SUM(LARGE(R53:T53,{1,2}))</f>
        <v>11</v>
      </c>
      <c r="Q53" s="1"/>
      <c r="R53" s="12">
        <f t="shared" si="0"/>
        <v>6</v>
      </c>
      <c r="S53" s="12">
        <f t="shared" si="1"/>
        <v>0</v>
      </c>
      <c r="T53" s="12">
        <f t="shared" si="2"/>
        <v>5</v>
      </c>
      <c r="U53" s="1"/>
      <c r="V53" s="1"/>
      <c r="W53" s="48" t="s">
        <v>77</v>
      </c>
    </row>
    <row r="54" spans="1:23" ht="21.95" customHeight="1">
      <c r="A54" s="1"/>
      <c r="B54" s="13">
        <v>46</v>
      </c>
      <c r="C54" s="18">
        <v>160923733167</v>
      </c>
      <c r="D54" s="10"/>
      <c r="E54" s="10"/>
      <c r="F54" s="10">
        <v>1</v>
      </c>
      <c r="G54" s="10">
        <v>3</v>
      </c>
      <c r="H54" s="10">
        <v>3</v>
      </c>
      <c r="I54" s="10"/>
      <c r="J54" s="10"/>
      <c r="K54" s="10">
        <v>3</v>
      </c>
      <c r="L54" s="10">
        <v>2</v>
      </c>
      <c r="M54" s="9">
        <f t="shared" si="3"/>
        <v>12</v>
      </c>
      <c r="N54" s="1"/>
      <c r="O54" s="1"/>
      <c r="P54" s="11">
        <f>SUM(LARGE(R54:T54,{1,2}))</f>
        <v>11</v>
      </c>
      <c r="Q54" s="1"/>
      <c r="R54" s="12">
        <f t="shared" si="0"/>
        <v>6</v>
      </c>
      <c r="S54" s="12">
        <f t="shared" si="1"/>
        <v>0</v>
      </c>
      <c r="T54" s="12">
        <f t="shared" si="2"/>
        <v>5</v>
      </c>
      <c r="U54" s="1"/>
      <c r="V54" s="1"/>
      <c r="W54" s="48" t="s">
        <v>78</v>
      </c>
    </row>
    <row r="55" spans="1:23" ht="21.95" customHeight="1">
      <c r="A55" s="1"/>
      <c r="B55" s="6">
        <v>47</v>
      </c>
      <c r="C55" s="18">
        <v>160923733168</v>
      </c>
      <c r="D55" s="10"/>
      <c r="E55" s="10"/>
      <c r="F55" s="10"/>
      <c r="G55" s="10"/>
      <c r="H55" s="10">
        <v>1</v>
      </c>
      <c r="I55" s="10"/>
      <c r="J55" s="10"/>
      <c r="K55" s="10"/>
      <c r="L55" s="10"/>
      <c r="M55" s="9">
        <f t="shared" si="3"/>
        <v>1</v>
      </c>
      <c r="N55" s="1"/>
      <c r="O55" s="1"/>
      <c r="P55" s="11">
        <f>SUM(LARGE(R55:T55,{1,2}))</f>
        <v>1</v>
      </c>
      <c r="Q55" s="1"/>
      <c r="R55" s="12">
        <f t="shared" si="0"/>
        <v>1</v>
      </c>
      <c r="S55" s="12">
        <f t="shared" si="1"/>
        <v>0</v>
      </c>
      <c r="T55" s="12">
        <f t="shared" si="2"/>
        <v>0</v>
      </c>
      <c r="U55" s="1"/>
      <c r="V55" s="1"/>
      <c r="W55" s="48" t="s">
        <v>79</v>
      </c>
    </row>
    <row r="56" spans="1:23" ht="21.95" customHeight="1">
      <c r="A56" s="1"/>
      <c r="B56" s="13">
        <v>48</v>
      </c>
      <c r="C56" s="18">
        <v>160923733169</v>
      </c>
      <c r="D56" s="10"/>
      <c r="E56" s="10">
        <v>0</v>
      </c>
      <c r="F56" s="10">
        <v>2</v>
      </c>
      <c r="G56" s="10">
        <v>1</v>
      </c>
      <c r="H56" s="10">
        <v>2</v>
      </c>
      <c r="I56" s="10"/>
      <c r="J56" s="10"/>
      <c r="K56" s="10">
        <v>2</v>
      </c>
      <c r="L56" s="10"/>
      <c r="M56" s="9">
        <f t="shared" si="3"/>
        <v>7</v>
      </c>
      <c r="N56" s="1"/>
      <c r="O56" s="1"/>
      <c r="P56" s="11"/>
      <c r="Q56" s="1"/>
      <c r="R56" s="12"/>
      <c r="S56" s="12"/>
      <c r="T56" s="12"/>
      <c r="U56" s="1"/>
      <c r="V56" s="1"/>
      <c r="W56" s="48" t="s">
        <v>80</v>
      </c>
    </row>
    <row r="57" spans="1:23" ht="21.95" customHeight="1">
      <c r="A57" s="1"/>
      <c r="B57" s="6">
        <v>49</v>
      </c>
      <c r="C57" s="18">
        <v>160923733170</v>
      </c>
      <c r="D57" s="10">
        <v>0</v>
      </c>
      <c r="E57" s="10">
        <v>0</v>
      </c>
      <c r="F57" s="10">
        <v>0</v>
      </c>
      <c r="G57" s="10">
        <v>1</v>
      </c>
      <c r="H57" s="10">
        <v>2</v>
      </c>
      <c r="I57" s="10"/>
      <c r="J57" s="10"/>
      <c r="K57" s="10">
        <v>3</v>
      </c>
      <c r="L57" s="10">
        <v>4</v>
      </c>
      <c r="M57" s="9">
        <f t="shared" si="3"/>
        <v>10</v>
      </c>
      <c r="N57" s="1"/>
      <c r="O57" s="1"/>
      <c r="P57" s="11">
        <f>SUM(LARGE(R57:T57,{1,2}))</f>
        <v>10</v>
      </c>
      <c r="Q57" s="1"/>
      <c r="R57" s="12">
        <f t="shared" si="0"/>
        <v>3</v>
      </c>
      <c r="S57" s="12">
        <f t="shared" si="1"/>
        <v>0</v>
      </c>
      <c r="T57" s="12">
        <f t="shared" si="2"/>
        <v>7</v>
      </c>
      <c r="U57" s="1"/>
      <c r="V57" s="1"/>
      <c r="W57" s="48" t="s">
        <v>81</v>
      </c>
    </row>
    <row r="58" spans="1:23" ht="21.95" customHeight="1">
      <c r="A58" s="1"/>
      <c r="B58" s="13">
        <v>50</v>
      </c>
      <c r="C58" s="18">
        <v>160923733171</v>
      </c>
      <c r="D58" s="10">
        <v>2</v>
      </c>
      <c r="E58" s="10">
        <v>2</v>
      </c>
      <c r="F58" s="10">
        <v>2</v>
      </c>
      <c r="G58" s="10">
        <v>3</v>
      </c>
      <c r="H58" s="10">
        <v>3</v>
      </c>
      <c r="I58" s="10"/>
      <c r="J58" s="10"/>
      <c r="K58" s="10">
        <v>3</v>
      </c>
      <c r="L58" s="10">
        <v>4</v>
      </c>
      <c r="M58" s="9">
        <f t="shared" si="3"/>
        <v>19</v>
      </c>
      <c r="N58" s="1"/>
      <c r="O58" s="1"/>
      <c r="P58" s="11">
        <f>SUM(LARGE(R58:T58,{1,2}))</f>
        <v>13</v>
      </c>
      <c r="Q58" s="1"/>
      <c r="R58" s="12">
        <f t="shared" si="0"/>
        <v>6</v>
      </c>
      <c r="S58" s="12">
        <f t="shared" si="1"/>
        <v>0</v>
      </c>
      <c r="T58" s="12">
        <f t="shared" si="2"/>
        <v>7</v>
      </c>
      <c r="U58" s="1"/>
      <c r="V58" s="1"/>
      <c r="W58" s="48" t="s">
        <v>82</v>
      </c>
    </row>
    <row r="59" spans="1:23" ht="21.95" customHeight="1">
      <c r="A59" s="1"/>
      <c r="B59" s="6">
        <v>51</v>
      </c>
      <c r="C59" s="18">
        <v>160923733172</v>
      </c>
      <c r="D59" s="10">
        <v>0</v>
      </c>
      <c r="E59" s="10">
        <v>0</v>
      </c>
      <c r="F59" s="10">
        <v>0</v>
      </c>
      <c r="G59" s="10">
        <v>2</v>
      </c>
      <c r="H59" s="10">
        <v>1</v>
      </c>
      <c r="I59" s="10">
        <v>3</v>
      </c>
      <c r="J59" s="10">
        <v>2</v>
      </c>
      <c r="K59" s="10"/>
      <c r="L59" s="10"/>
      <c r="M59" s="9">
        <f t="shared" si="3"/>
        <v>8</v>
      </c>
      <c r="N59" s="1"/>
      <c r="O59" s="1"/>
      <c r="P59" s="11"/>
      <c r="Q59" s="1"/>
      <c r="R59" s="12">
        <f t="shared" si="0"/>
        <v>3</v>
      </c>
      <c r="S59" s="12"/>
      <c r="T59" s="12"/>
      <c r="U59" s="1"/>
      <c r="V59" s="1"/>
      <c r="W59" s="48" t="s">
        <v>83</v>
      </c>
    </row>
    <row r="60" spans="1:23" ht="21.95" customHeight="1">
      <c r="A60" s="1"/>
      <c r="B60" s="13">
        <v>52</v>
      </c>
      <c r="C60" s="18">
        <v>160923733173</v>
      </c>
      <c r="D60" s="10"/>
      <c r="E60" s="10"/>
      <c r="F60" s="10"/>
      <c r="G60" s="10"/>
      <c r="H60" s="10">
        <v>1</v>
      </c>
      <c r="I60" s="10">
        <v>1</v>
      </c>
      <c r="J60" s="10"/>
      <c r="K60" s="10">
        <v>1</v>
      </c>
      <c r="L60" s="10">
        <v>3</v>
      </c>
      <c r="M60" s="9">
        <f t="shared" si="3"/>
        <v>6</v>
      </c>
      <c r="N60" s="1"/>
      <c r="O60" s="1"/>
      <c r="P60" s="11"/>
      <c r="Q60" s="1"/>
      <c r="R60" s="12"/>
      <c r="S60" s="12"/>
      <c r="T60" s="12"/>
      <c r="U60" s="1"/>
      <c r="V60" s="1"/>
      <c r="W60" s="48" t="s">
        <v>84</v>
      </c>
    </row>
    <row r="61" spans="1:23" ht="21.95" customHeight="1">
      <c r="A61" s="1"/>
      <c r="B61" s="6">
        <v>53</v>
      </c>
      <c r="C61" s="18">
        <v>160923733174</v>
      </c>
      <c r="D61" s="10"/>
      <c r="E61" s="10">
        <v>2</v>
      </c>
      <c r="F61" s="10"/>
      <c r="G61" s="10"/>
      <c r="H61" s="10"/>
      <c r="I61" s="10"/>
      <c r="J61" s="10"/>
      <c r="K61" s="10"/>
      <c r="L61" s="10"/>
      <c r="M61" s="9">
        <f t="shared" si="3"/>
        <v>2</v>
      </c>
      <c r="N61" s="1"/>
      <c r="O61" s="1"/>
      <c r="P61" s="11"/>
      <c r="Q61" s="1"/>
      <c r="R61" s="12"/>
      <c r="S61" s="12"/>
      <c r="T61" s="12"/>
      <c r="U61" s="1"/>
      <c r="V61" s="1"/>
      <c r="W61" s="48" t="s">
        <v>85</v>
      </c>
    </row>
    <row r="62" spans="1:23" ht="21.95" customHeight="1">
      <c r="A62" s="1"/>
      <c r="B62" s="13">
        <v>54</v>
      </c>
      <c r="C62" s="18">
        <v>160923733175</v>
      </c>
      <c r="D62" s="10">
        <v>2</v>
      </c>
      <c r="E62" s="10"/>
      <c r="F62" s="10"/>
      <c r="G62" s="10"/>
      <c r="H62" s="10"/>
      <c r="I62" s="10"/>
      <c r="J62" s="10"/>
      <c r="K62" s="10"/>
      <c r="L62" s="10"/>
      <c r="M62" s="9">
        <f t="shared" si="3"/>
        <v>2</v>
      </c>
      <c r="N62" s="1"/>
      <c r="O62" s="1"/>
      <c r="P62" s="11"/>
      <c r="Q62" s="1"/>
      <c r="R62" s="12"/>
      <c r="S62" s="12"/>
      <c r="T62" s="12"/>
      <c r="U62" s="1"/>
      <c r="V62" s="1"/>
      <c r="W62" s="48" t="s">
        <v>73</v>
      </c>
    </row>
    <row r="63" spans="1:23" ht="21.95" customHeight="1">
      <c r="A63" s="1"/>
      <c r="B63" s="6">
        <v>55</v>
      </c>
      <c r="C63" s="18">
        <v>160923733176</v>
      </c>
      <c r="D63" s="19" t="s">
        <v>31</v>
      </c>
      <c r="E63" s="19" t="s">
        <v>31</v>
      </c>
      <c r="F63" s="19" t="s">
        <v>31</v>
      </c>
      <c r="G63" s="19" t="s">
        <v>31</v>
      </c>
      <c r="H63" s="19" t="s">
        <v>31</v>
      </c>
      <c r="I63" s="19" t="s">
        <v>31</v>
      </c>
      <c r="J63" s="19" t="s">
        <v>31</v>
      </c>
      <c r="K63" s="19" t="s">
        <v>31</v>
      </c>
      <c r="L63" s="19" t="s">
        <v>31</v>
      </c>
      <c r="M63" s="19" t="s">
        <v>31</v>
      </c>
      <c r="N63" s="1"/>
      <c r="O63" s="1"/>
      <c r="P63" s="11"/>
      <c r="Q63" s="1"/>
      <c r="R63" s="12"/>
      <c r="S63" s="12"/>
      <c r="T63" s="12"/>
      <c r="U63" s="1"/>
      <c r="V63" s="1"/>
      <c r="W63" s="48" t="s">
        <v>86</v>
      </c>
    </row>
    <row r="64" spans="1:23" ht="21.95" customHeight="1">
      <c r="A64" s="1"/>
      <c r="B64" s="13">
        <v>56</v>
      </c>
      <c r="C64" s="18">
        <v>160923733178</v>
      </c>
      <c r="D64" s="10"/>
      <c r="E64" s="10"/>
      <c r="F64" s="10"/>
      <c r="G64" s="10">
        <v>1</v>
      </c>
      <c r="H64" s="10"/>
      <c r="I64" s="10"/>
      <c r="J64" s="10"/>
      <c r="K64" s="10">
        <v>3</v>
      </c>
      <c r="L64" s="10">
        <v>1</v>
      </c>
      <c r="M64" s="9">
        <f t="shared" si="3"/>
        <v>5</v>
      </c>
      <c r="N64" s="1"/>
      <c r="O64" s="1"/>
      <c r="P64" s="11"/>
      <c r="Q64" s="1"/>
      <c r="R64" s="12"/>
      <c r="S64" s="12"/>
      <c r="T64" s="12"/>
      <c r="U64" s="1"/>
      <c r="V64" s="1"/>
      <c r="W64" s="48" t="s">
        <v>87</v>
      </c>
    </row>
    <row r="65" spans="1:23" ht="21.95" customHeight="1">
      <c r="A65" s="1"/>
      <c r="B65" s="6">
        <v>57</v>
      </c>
      <c r="C65" s="18">
        <v>160923733179</v>
      </c>
      <c r="D65" s="10"/>
      <c r="E65" s="10"/>
      <c r="F65" s="10"/>
      <c r="G65" s="10">
        <v>2</v>
      </c>
      <c r="H65" s="10">
        <v>4</v>
      </c>
      <c r="I65" s="10"/>
      <c r="J65" s="10"/>
      <c r="K65" s="10"/>
      <c r="L65" s="10"/>
      <c r="M65" s="9">
        <f t="shared" si="3"/>
        <v>6</v>
      </c>
      <c r="N65" s="1"/>
      <c r="O65" s="1"/>
      <c r="P65" s="11"/>
      <c r="Q65" s="1"/>
      <c r="R65" s="12"/>
      <c r="S65" s="12"/>
      <c r="T65" s="12"/>
      <c r="U65" s="1"/>
      <c r="V65" s="1"/>
      <c r="W65" s="48" t="s">
        <v>88</v>
      </c>
    </row>
    <row r="66" spans="1:23" ht="21.95" customHeight="1">
      <c r="A66" s="1"/>
      <c r="B66" s="13">
        <v>58</v>
      </c>
      <c r="C66" s="18">
        <v>160923733180</v>
      </c>
      <c r="D66" s="10"/>
      <c r="E66" s="10"/>
      <c r="F66" s="10"/>
      <c r="G66" s="10">
        <v>2</v>
      </c>
      <c r="H66" s="10">
        <v>4</v>
      </c>
      <c r="I66" s="10"/>
      <c r="J66" s="10"/>
      <c r="K66" s="10">
        <v>3</v>
      </c>
      <c r="L66" s="10">
        <v>3</v>
      </c>
      <c r="M66" s="9">
        <f t="shared" si="3"/>
        <v>12</v>
      </c>
      <c r="N66" s="1"/>
      <c r="O66" s="1"/>
      <c r="P66" s="11"/>
      <c r="Q66" s="1"/>
      <c r="R66" s="12"/>
      <c r="S66" s="12"/>
      <c r="T66" s="12"/>
      <c r="U66" s="1"/>
      <c r="V66" s="1"/>
      <c r="W66" s="48" t="s">
        <v>89</v>
      </c>
    </row>
    <row r="67" spans="1:23" ht="21.95" customHeight="1">
      <c r="A67" s="1"/>
      <c r="B67" s="6">
        <v>59</v>
      </c>
      <c r="C67" s="18">
        <v>160923733313</v>
      </c>
      <c r="D67" s="10"/>
      <c r="E67" s="10"/>
      <c r="F67" s="10"/>
      <c r="G67" s="10">
        <v>1</v>
      </c>
      <c r="H67" s="10">
        <v>4</v>
      </c>
      <c r="I67" s="10"/>
      <c r="J67" s="10"/>
      <c r="K67" s="10"/>
      <c r="L67" s="10"/>
      <c r="M67" s="9">
        <f t="shared" si="3"/>
        <v>5</v>
      </c>
      <c r="N67" s="1"/>
      <c r="O67" s="1"/>
      <c r="P67" s="11"/>
      <c r="Q67" s="1"/>
      <c r="R67" s="12"/>
      <c r="S67" s="12"/>
      <c r="T67" s="12"/>
      <c r="U67" s="1"/>
      <c r="V67" s="1"/>
      <c r="W67" s="49" t="s">
        <v>90</v>
      </c>
    </row>
    <row r="68" spans="1:23" ht="21.95" customHeight="1">
      <c r="A68" s="1"/>
      <c r="B68" s="13">
        <v>60</v>
      </c>
      <c r="C68" s="18">
        <v>160923733314</v>
      </c>
      <c r="D68" s="10">
        <v>2</v>
      </c>
      <c r="E68" s="10">
        <v>2</v>
      </c>
      <c r="F68" s="10"/>
      <c r="G68" s="10">
        <v>3</v>
      </c>
      <c r="H68" s="10">
        <v>2</v>
      </c>
      <c r="I68" s="10"/>
      <c r="J68" s="10"/>
      <c r="K68" s="10">
        <v>3</v>
      </c>
      <c r="L68" s="10">
        <v>4</v>
      </c>
      <c r="M68" s="9">
        <f t="shared" si="3"/>
        <v>16</v>
      </c>
      <c r="N68" s="1"/>
      <c r="O68" s="1"/>
      <c r="P68" s="11"/>
      <c r="Q68" s="1"/>
      <c r="R68" s="12"/>
      <c r="S68" s="12"/>
      <c r="T68" s="12"/>
      <c r="U68" s="1"/>
      <c r="V68" s="1"/>
      <c r="W68" s="50" t="s">
        <v>91</v>
      </c>
    </row>
    <row r="69" spans="1:23" ht="21.95" customHeight="1">
      <c r="A69" s="1"/>
      <c r="B69" s="6">
        <v>61</v>
      </c>
      <c r="C69" s="18">
        <v>160923733315</v>
      </c>
      <c r="D69" s="19" t="s">
        <v>31</v>
      </c>
      <c r="E69" s="19" t="s">
        <v>31</v>
      </c>
      <c r="F69" s="19" t="s">
        <v>31</v>
      </c>
      <c r="G69" s="19" t="s">
        <v>31</v>
      </c>
      <c r="H69" s="19" t="s">
        <v>31</v>
      </c>
      <c r="I69" s="19" t="s">
        <v>31</v>
      </c>
      <c r="J69" s="19" t="s">
        <v>31</v>
      </c>
      <c r="K69" s="19" t="s">
        <v>31</v>
      </c>
      <c r="L69" s="19" t="s">
        <v>31</v>
      </c>
      <c r="M69" s="19" t="s">
        <v>31</v>
      </c>
      <c r="N69" s="1"/>
      <c r="O69" s="1"/>
      <c r="P69" s="11"/>
      <c r="Q69" s="1"/>
      <c r="R69" s="12"/>
      <c r="S69" s="12"/>
      <c r="T69" s="12"/>
      <c r="U69" s="1"/>
      <c r="V69" s="1"/>
      <c r="W69" s="49" t="s">
        <v>92</v>
      </c>
    </row>
    <row r="70" spans="1:23" ht="21.95" customHeight="1">
      <c r="A70" s="1"/>
      <c r="B70" s="13">
        <v>62</v>
      </c>
      <c r="C70" s="18">
        <v>160923733316</v>
      </c>
      <c r="D70" s="10"/>
      <c r="E70" s="10"/>
      <c r="F70" s="10"/>
      <c r="G70" s="10">
        <v>2</v>
      </c>
      <c r="H70" s="10">
        <v>2</v>
      </c>
      <c r="I70" s="10"/>
      <c r="J70" s="10"/>
      <c r="K70" s="10">
        <v>1</v>
      </c>
      <c r="L70" s="10"/>
      <c r="M70" s="9">
        <f t="shared" si="3"/>
        <v>5</v>
      </c>
      <c r="N70" s="1"/>
      <c r="O70" s="1"/>
      <c r="P70" s="11"/>
      <c r="Q70" s="1"/>
      <c r="R70" s="12"/>
      <c r="S70" s="12"/>
      <c r="T70" s="12"/>
      <c r="U70" s="1"/>
      <c r="V70" s="1"/>
      <c r="W70" s="50" t="s">
        <v>93</v>
      </c>
    </row>
    <row r="71" spans="1:23" ht="21.95" customHeight="1">
      <c r="A71" s="1"/>
      <c r="B71" s="6">
        <v>63</v>
      </c>
      <c r="C71" s="18">
        <v>160923733317</v>
      </c>
      <c r="D71" s="10">
        <v>2</v>
      </c>
      <c r="E71" s="10">
        <v>2</v>
      </c>
      <c r="F71" s="10">
        <v>2</v>
      </c>
      <c r="G71" s="10">
        <v>3</v>
      </c>
      <c r="H71" s="10">
        <v>4</v>
      </c>
      <c r="I71" s="10"/>
      <c r="J71" s="10"/>
      <c r="K71" s="10">
        <v>3</v>
      </c>
      <c r="L71" s="10">
        <v>2</v>
      </c>
      <c r="M71" s="9">
        <f t="shared" si="3"/>
        <v>18</v>
      </c>
      <c r="N71" s="1"/>
      <c r="O71" s="1"/>
      <c r="P71" s="11"/>
      <c r="Q71" s="1"/>
      <c r="R71" s="12"/>
      <c r="S71" s="12"/>
      <c r="T71" s="12"/>
      <c r="U71" s="1"/>
      <c r="V71" s="1"/>
      <c r="W71" s="49" t="s">
        <v>94</v>
      </c>
    </row>
    <row r="72" spans="1:23" ht="21.95" customHeight="1">
      <c r="A72" s="1"/>
      <c r="B72" s="13">
        <v>64</v>
      </c>
      <c r="C72" s="18">
        <v>160923733318</v>
      </c>
      <c r="D72" s="10">
        <v>2</v>
      </c>
      <c r="E72" s="10">
        <v>0</v>
      </c>
      <c r="F72" s="10">
        <v>1</v>
      </c>
      <c r="G72" s="10"/>
      <c r="H72" s="10">
        <v>4</v>
      </c>
      <c r="I72" s="10"/>
      <c r="J72" s="10"/>
      <c r="K72" s="10"/>
      <c r="L72" s="10"/>
      <c r="M72" s="9">
        <f t="shared" si="3"/>
        <v>7</v>
      </c>
      <c r="N72" s="1"/>
      <c r="O72" s="1"/>
      <c r="P72" s="11"/>
      <c r="Q72" s="1"/>
      <c r="R72" s="12"/>
      <c r="S72" s="12"/>
      <c r="T72" s="12"/>
      <c r="U72" s="1"/>
      <c r="V72" s="1"/>
      <c r="W72" s="50" t="s">
        <v>95</v>
      </c>
    </row>
    <row r="73" spans="1:23" ht="15.75" customHeight="1">
      <c r="A73" s="1"/>
      <c r="B73" s="22" t="s">
        <v>16</v>
      </c>
      <c r="C73" s="22"/>
      <c r="D73" s="23" t="s">
        <v>17</v>
      </c>
      <c r="E73" s="24"/>
      <c r="F73" s="24"/>
      <c r="G73" s="24"/>
      <c r="H73" s="24"/>
      <c r="I73" s="25"/>
      <c r="J73" s="26" t="s">
        <v>18</v>
      </c>
      <c r="K73" s="26"/>
      <c r="L73" s="26"/>
      <c r="M73" s="26"/>
      <c r="N73" s="1"/>
      <c r="O73" s="1"/>
      <c r="P73" s="11">
        <f>SUM(LARGE(R73:T73,{1,2}))</f>
        <v>0</v>
      </c>
      <c r="Q73" s="1"/>
      <c r="R73" s="12">
        <f t="shared" si="0"/>
        <v>0</v>
      </c>
      <c r="S73" s="12">
        <f t="shared" si="1"/>
        <v>0</v>
      </c>
      <c r="T73" s="12">
        <f t="shared" si="2"/>
        <v>0</v>
      </c>
      <c r="U73" s="1"/>
      <c r="V73" s="1"/>
    </row>
    <row r="74" spans="1:23" ht="30" customHeight="1">
      <c r="A74" s="1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1"/>
      <c r="O74" s="1"/>
      <c r="P74" s="11">
        <f>SUM(LARGE(R74:T74,{1,2}))</f>
        <v>0</v>
      </c>
      <c r="Q74" s="1"/>
      <c r="R74" s="12">
        <f t="shared" si="0"/>
        <v>0</v>
      </c>
      <c r="S74" s="12">
        <f t="shared" si="1"/>
        <v>0</v>
      </c>
      <c r="T74" s="12">
        <f t="shared" si="2"/>
        <v>0</v>
      </c>
      <c r="U74" s="1"/>
      <c r="V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1">
        <f>SUM(LARGE(R75:T75,{1,2}))</f>
        <v>0</v>
      </c>
      <c r="Q75" s="1"/>
      <c r="R75" s="12">
        <f t="shared" si="0"/>
        <v>0</v>
      </c>
      <c r="S75" s="12">
        <f t="shared" si="1"/>
        <v>0</v>
      </c>
      <c r="T75" s="12">
        <f t="shared" si="2"/>
        <v>0</v>
      </c>
      <c r="U75" s="1"/>
      <c r="V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1">
        <f>SUM(LARGE(R76:T76,{1,2}))</f>
        <v>0</v>
      </c>
      <c r="Q76" s="1"/>
      <c r="R76" s="12">
        <f t="shared" si="0"/>
        <v>0</v>
      </c>
      <c r="S76" s="12">
        <f t="shared" si="1"/>
        <v>0</v>
      </c>
      <c r="T76" s="12">
        <f t="shared" si="2"/>
        <v>0</v>
      </c>
      <c r="U76" s="1"/>
      <c r="V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1">
        <f>SUM(LARGE(R77:T77,{1,2}))</f>
        <v>0</v>
      </c>
      <c r="Q77" s="1"/>
      <c r="R77" s="12">
        <f t="shared" si="0"/>
        <v>0</v>
      </c>
      <c r="S77" s="12">
        <f t="shared" si="1"/>
        <v>0</v>
      </c>
      <c r="T77" s="12">
        <f t="shared" si="2"/>
        <v>0</v>
      </c>
      <c r="U77" s="1"/>
      <c r="V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1">
        <f>SUM(LARGE(R78:T78,{1,2}))</f>
        <v>0</v>
      </c>
      <c r="Q78" s="1"/>
      <c r="R78" s="12">
        <f t="shared" si="0"/>
        <v>0</v>
      </c>
      <c r="S78" s="12">
        <f t="shared" si="1"/>
        <v>0</v>
      </c>
      <c r="T78" s="12">
        <f t="shared" si="2"/>
        <v>0</v>
      </c>
      <c r="U78" s="1"/>
      <c r="V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1">
        <f>SUM(LARGE(R79:T79,{1,2}))</f>
        <v>0</v>
      </c>
      <c r="Q79" s="1"/>
      <c r="R79" s="12">
        <f t="shared" si="0"/>
        <v>0</v>
      </c>
      <c r="S79" s="12">
        <f t="shared" si="1"/>
        <v>0</v>
      </c>
      <c r="T79" s="12">
        <f t="shared" si="2"/>
        <v>0</v>
      </c>
      <c r="U79" s="1"/>
      <c r="V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1">
        <f>SUM(LARGE(R80:T80,{1,2}))</f>
        <v>0</v>
      </c>
      <c r="Q80" s="1"/>
      <c r="R80" s="12">
        <f t="shared" si="0"/>
        <v>0</v>
      </c>
      <c r="S80" s="12">
        <f t="shared" si="1"/>
        <v>0</v>
      </c>
      <c r="T80" s="12">
        <f t="shared" si="2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1">
        <f>SUM(LARGE(R81:T81,{1,2}))</f>
        <v>0</v>
      </c>
      <c r="Q81" s="1"/>
      <c r="R81" s="12">
        <f t="shared" si="0"/>
        <v>0</v>
      </c>
      <c r="S81" s="12">
        <f t="shared" si="1"/>
        <v>0</v>
      </c>
      <c r="T81" s="12">
        <f t="shared" si="2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1">
        <f>SUM(LARGE(R82:T82,{1,2}))</f>
        <v>0</v>
      </c>
      <c r="Q82" s="1"/>
      <c r="R82" s="12">
        <f t="shared" si="0"/>
        <v>0</v>
      </c>
      <c r="S82" s="12">
        <f t="shared" si="1"/>
        <v>0</v>
      </c>
      <c r="T82" s="12">
        <f t="shared" si="2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1">
        <f>SUM(LARGE(R83:T83,{1,2}))</f>
        <v>0</v>
      </c>
      <c r="Q83" s="1"/>
      <c r="R83" s="12">
        <f t="shared" si="0"/>
        <v>0</v>
      </c>
      <c r="S83" s="12">
        <f t="shared" si="1"/>
        <v>0</v>
      </c>
      <c r="T83" s="12">
        <f t="shared" si="2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1">
        <f>SUM(LARGE(R84:T84,{1,2}))</f>
        <v>0</v>
      </c>
      <c r="Q84" s="1"/>
      <c r="R84" s="12">
        <f t="shared" si="0"/>
        <v>0</v>
      </c>
      <c r="S84" s="12">
        <f t="shared" si="1"/>
        <v>0</v>
      </c>
      <c r="T84" s="12">
        <f t="shared" si="2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1">
        <f>SUM(LARGE(R85:T85,{1,2}))</f>
        <v>0</v>
      </c>
      <c r="Q85" s="1"/>
      <c r="R85" s="12">
        <f t="shared" si="0"/>
        <v>0</v>
      </c>
      <c r="S85" s="12">
        <f t="shared" si="1"/>
        <v>0</v>
      </c>
      <c r="T85" s="12">
        <f t="shared" si="2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/>
    <row r="240" spans="1:2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73:C73"/>
    <mergeCell ref="D73:I73"/>
    <mergeCell ref="J73:M73"/>
    <mergeCell ref="B74:C74"/>
    <mergeCell ref="D74:I74"/>
    <mergeCell ref="J74:M74"/>
    <mergeCell ref="B7:B8"/>
    <mergeCell ref="C7:C8"/>
    <mergeCell ref="D7:F7"/>
    <mergeCell ref="G7:H7"/>
    <mergeCell ref="I7:J7"/>
    <mergeCell ref="K7:L7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W980"/>
  <sheetViews>
    <sheetView topLeftCell="A16" zoomScale="130" zoomScaleNormal="130" workbookViewId="0">
      <selection activeCell="W9" sqref="W9:W72"/>
    </sheetView>
  </sheetViews>
  <sheetFormatPr defaultColWidth="14.42578125" defaultRowHeight="15"/>
  <cols>
    <col min="1" max="1" width="0.85546875" style="2" customWidth="1"/>
    <col min="2" max="2" width="5.5703125" style="2" bestFit="1" customWidth="1"/>
    <col min="3" max="3" width="19.28515625" style="2" customWidth="1"/>
    <col min="4" max="4" width="8.42578125" style="2" customWidth="1"/>
    <col min="5" max="5" width="8.28515625" style="2" customWidth="1"/>
    <col min="6" max="6" width="8.140625" style="2" customWidth="1"/>
    <col min="7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16384" width="14.42578125" style="2"/>
  </cols>
  <sheetData>
    <row r="1" spans="1:23" ht="21" customHeight="1">
      <c r="A1" s="1"/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1"/>
      <c r="O1" s="1"/>
      <c r="P1" s="1"/>
      <c r="Q1" s="1"/>
      <c r="R1" s="1"/>
      <c r="S1" s="1"/>
      <c r="T1" s="1"/>
      <c r="U1" s="1"/>
      <c r="V1" s="1"/>
    </row>
    <row r="2" spans="1:23" ht="15.75" customHeight="1">
      <c r="A2" s="1"/>
      <c r="B2" s="37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1"/>
      <c r="O2" s="1"/>
      <c r="P2" s="1"/>
      <c r="Q2" s="1"/>
      <c r="R2" s="1"/>
      <c r="S2" s="1"/>
      <c r="T2" s="1"/>
      <c r="U2" s="1"/>
      <c r="V2" s="1"/>
    </row>
    <row r="3" spans="1:23">
      <c r="A3" s="1"/>
      <c r="B3" s="39" t="s">
        <v>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1"/>
      <c r="O3" s="1"/>
      <c r="P3" s="1"/>
      <c r="Q3" s="1"/>
      <c r="R3" s="1"/>
      <c r="S3" s="1"/>
      <c r="T3" s="1"/>
      <c r="U3" s="1"/>
      <c r="V3" s="1"/>
    </row>
    <row r="4" spans="1:23" ht="16.5" customHeight="1">
      <c r="A4" s="1"/>
      <c r="B4" s="40" t="s">
        <v>25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  <c r="N4" s="1"/>
      <c r="O4" s="1"/>
      <c r="P4" s="1"/>
      <c r="Q4" s="1"/>
      <c r="R4" s="1"/>
      <c r="S4" s="1"/>
      <c r="T4" s="1"/>
      <c r="U4" s="1"/>
      <c r="V4" s="1"/>
    </row>
    <row r="5" spans="1:23" ht="18.75">
      <c r="A5" s="1"/>
      <c r="B5" s="43" t="s">
        <v>24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  <c r="N5" s="1"/>
      <c r="O5" s="1"/>
      <c r="P5" s="1"/>
      <c r="Q5" s="1"/>
      <c r="R5" s="1"/>
      <c r="S5" s="1"/>
      <c r="T5" s="1"/>
      <c r="U5" s="1"/>
      <c r="V5" s="1"/>
    </row>
    <row r="6" spans="1:23" ht="22.5">
      <c r="A6" s="1"/>
      <c r="B6" s="31" t="s">
        <v>3</v>
      </c>
      <c r="C6" s="32"/>
      <c r="D6" s="31" t="s">
        <v>21</v>
      </c>
      <c r="E6" s="33"/>
      <c r="F6" s="33"/>
      <c r="G6" s="33"/>
      <c r="H6" s="33"/>
      <c r="I6" s="33"/>
      <c r="J6" s="33"/>
      <c r="K6" s="3" t="s">
        <v>4</v>
      </c>
      <c r="L6" s="34" t="s">
        <v>28</v>
      </c>
      <c r="M6" s="34"/>
      <c r="N6" s="1"/>
      <c r="O6" s="1"/>
      <c r="P6" s="1"/>
      <c r="Q6" s="1"/>
      <c r="R6" s="1"/>
      <c r="S6" s="1"/>
      <c r="T6" s="1"/>
      <c r="U6" s="1"/>
      <c r="V6" s="1"/>
    </row>
    <row r="7" spans="1:23">
      <c r="A7" s="1"/>
      <c r="B7" s="21" t="s">
        <v>5</v>
      </c>
      <c r="C7" s="28" t="s">
        <v>6</v>
      </c>
      <c r="D7" s="29" t="s">
        <v>7</v>
      </c>
      <c r="E7" s="30"/>
      <c r="F7" s="30"/>
      <c r="G7" s="29" t="s">
        <v>8</v>
      </c>
      <c r="H7" s="30"/>
      <c r="I7" s="29" t="s">
        <v>9</v>
      </c>
      <c r="J7" s="30"/>
      <c r="K7" s="29" t="s">
        <v>10</v>
      </c>
      <c r="L7" s="30"/>
      <c r="M7" s="20" t="s">
        <v>11</v>
      </c>
      <c r="N7" s="4" t="s">
        <v>12</v>
      </c>
      <c r="O7" s="1"/>
      <c r="P7" s="1"/>
      <c r="Q7" s="1"/>
      <c r="R7" s="1"/>
      <c r="S7" s="1"/>
      <c r="T7" s="1"/>
      <c r="U7" s="1"/>
      <c r="V7" s="1"/>
    </row>
    <row r="8" spans="1:23" ht="23.25" customHeight="1">
      <c r="A8" s="1"/>
      <c r="B8" s="21"/>
      <c r="C8" s="28"/>
      <c r="D8" s="5" t="s">
        <v>13</v>
      </c>
      <c r="E8" s="5" t="s">
        <v>14</v>
      </c>
      <c r="F8" s="5" t="s">
        <v>15</v>
      </c>
      <c r="G8" s="5" t="s">
        <v>13</v>
      </c>
      <c r="H8" s="5" t="s">
        <v>14</v>
      </c>
      <c r="I8" s="5" t="s">
        <v>13</v>
      </c>
      <c r="J8" s="5" t="s">
        <v>14</v>
      </c>
      <c r="K8" s="5" t="s">
        <v>13</v>
      </c>
      <c r="L8" s="5" t="s">
        <v>14</v>
      </c>
      <c r="M8" s="21"/>
      <c r="N8" s="4"/>
      <c r="O8" s="1"/>
      <c r="P8" s="1"/>
      <c r="Q8" s="1"/>
      <c r="R8" s="1"/>
      <c r="S8" s="1"/>
      <c r="T8" s="1"/>
      <c r="U8" s="1"/>
      <c r="V8" s="1"/>
    </row>
    <row r="9" spans="1:23" ht="21.95" customHeight="1">
      <c r="A9" s="1"/>
      <c r="B9" s="6">
        <v>1</v>
      </c>
      <c r="C9" s="18">
        <v>160923733121</v>
      </c>
      <c r="D9" s="7">
        <v>2</v>
      </c>
      <c r="E9" s="8">
        <v>2</v>
      </c>
      <c r="F9" s="8">
        <v>1</v>
      </c>
      <c r="G9" s="8">
        <v>4</v>
      </c>
      <c r="H9" s="8"/>
      <c r="I9" s="8">
        <v>3</v>
      </c>
      <c r="J9" s="8"/>
      <c r="K9" s="8"/>
      <c r="L9" s="8"/>
      <c r="M9" s="9">
        <f>SUM(D9:K9)</f>
        <v>12</v>
      </c>
      <c r="N9" s="10" t="str">
        <f>IF(M9&lt;8,"F","P")</f>
        <v>P</v>
      </c>
      <c r="O9" s="1"/>
      <c r="P9" s="11">
        <f>SUM(LARGE(R9:T9,{1,2}))</f>
        <v>7</v>
      </c>
      <c r="Q9" s="1"/>
      <c r="R9" s="12">
        <f t="shared" ref="R9:R85" si="0">SUM(G9:H9)</f>
        <v>4</v>
      </c>
      <c r="S9" s="12">
        <f t="shared" ref="S9:S85" si="1">SUM(I9:J9)</f>
        <v>3</v>
      </c>
      <c r="T9" s="12">
        <f t="shared" ref="T9:T85" si="2">SUM(K9:L9)</f>
        <v>0</v>
      </c>
      <c r="U9" s="1"/>
      <c r="V9" s="1"/>
      <c r="W9" s="48" t="s">
        <v>33</v>
      </c>
    </row>
    <row r="10" spans="1:23" ht="21.95" customHeight="1">
      <c r="A10" s="1"/>
      <c r="B10" s="13">
        <v>2</v>
      </c>
      <c r="C10" s="18">
        <v>160923733122</v>
      </c>
      <c r="D10" s="7">
        <v>2</v>
      </c>
      <c r="E10" s="8">
        <v>2</v>
      </c>
      <c r="F10" s="8">
        <v>1</v>
      </c>
      <c r="G10" s="8">
        <v>6</v>
      </c>
      <c r="H10" s="8"/>
      <c r="I10" s="8">
        <v>6</v>
      </c>
      <c r="J10" s="8"/>
      <c r="K10" s="8"/>
      <c r="L10" s="8"/>
      <c r="M10" s="9">
        <f t="shared" ref="M10:M72" si="3">SUM(D10:K10)</f>
        <v>17</v>
      </c>
      <c r="N10" s="10" t="str">
        <f t="shared" ref="N10:N38" si="4">IF(M10&lt;8,"F","P")</f>
        <v>P</v>
      </c>
      <c r="O10" s="1"/>
      <c r="P10" s="11">
        <f>SUM(LARGE(R10:T10,{1,2}))</f>
        <v>12</v>
      </c>
      <c r="Q10" s="1"/>
      <c r="R10" s="12">
        <f t="shared" si="0"/>
        <v>6</v>
      </c>
      <c r="S10" s="12">
        <f t="shared" si="1"/>
        <v>6</v>
      </c>
      <c r="T10" s="12">
        <f t="shared" si="2"/>
        <v>0</v>
      </c>
      <c r="U10" s="1"/>
      <c r="V10" s="1"/>
      <c r="W10" s="48" t="s">
        <v>34</v>
      </c>
    </row>
    <row r="11" spans="1:23" ht="21.95" customHeight="1">
      <c r="A11" s="1"/>
      <c r="B11" s="6">
        <v>3</v>
      </c>
      <c r="C11" s="18">
        <v>160923733123</v>
      </c>
      <c r="D11" s="7">
        <v>2</v>
      </c>
      <c r="E11" s="8">
        <v>1</v>
      </c>
      <c r="F11" s="8">
        <v>2</v>
      </c>
      <c r="G11" s="8">
        <v>6</v>
      </c>
      <c r="H11" s="8"/>
      <c r="I11" s="8">
        <v>7</v>
      </c>
      <c r="J11" s="8"/>
      <c r="K11" s="8"/>
      <c r="L11" s="8"/>
      <c r="M11" s="9">
        <f t="shared" si="3"/>
        <v>18</v>
      </c>
      <c r="N11" s="10" t="str">
        <f t="shared" si="4"/>
        <v>P</v>
      </c>
      <c r="O11" s="1"/>
      <c r="P11" s="11">
        <f>SUM(LARGE(R11:T11,{1,2}))</f>
        <v>13</v>
      </c>
      <c r="Q11" s="1"/>
      <c r="R11" s="12">
        <f t="shared" si="0"/>
        <v>6</v>
      </c>
      <c r="S11" s="12">
        <f t="shared" si="1"/>
        <v>7</v>
      </c>
      <c r="T11" s="12">
        <f t="shared" si="2"/>
        <v>0</v>
      </c>
      <c r="U11" s="1"/>
      <c r="V11" s="1"/>
      <c r="W11" s="48" t="s">
        <v>35</v>
      </c>
    </row>
    <row r="12" spans="1:23" ht="21.95" customHeight="1">
      <c r="A12" s="1"/>
      <c r="B12" s="13">
        <v>4</v>
      </c>
      <c r="C12" s="18">
        <v>160923733124</v>
      </c>
      <c r="D12" s="7">
        <v>2</v>
      </c>
      <c r="E12" s="8">
        <v>2</v>
      </c>
      <c r="F12" s="8">
        <v>2</v>
      </c>
      <c r="G12" s="8">
        <v>6</v>
      </c>
      <c r="H12" s="8"/>
      <c r="I12" s="8">
        <v>0</v>
      </c>
      <c r="J12" s="8"/>
      <c r="K12" s="8"/>
      <c r="L12" s="8"/>
      <c r="M12" s="9">
        <f t="shared" si="3"/>
        <v>12</v>
      </c>
      <c r="N12" s="10" t="str">
        <f t="shared" si="4"/>
        <v>P</v>
      </c>
      <c r="O12" s="1"/>
      <c r="P12" s="11">
        <f>SUM(LARGE(R12:T12,{1,2}))</f>
        <v>6</v>
      </c>
      <c r="Q12" s="1"/>
      <c r="R12" s="12">
        <f t="shared" si="0"/>
        <v>6</v>
      </c>
      <c r="S12" s="12">
        <f t="shared" si="1"/>
        <v>0</v>
      </c>
      <c r="T12" s="12">
        <f t="shared" si="2"/>
        <v>0</v>
      </c>
      <c r="U12" s="1"/>
      <c r="V12" s="1"/>
      <c r="W12" s="48" t="s">
        <v>36</v>
      </c>
    </row>
    <row r="13" spans="1:23" ht="21.95" customHeight="1">
      <c r="A13" s="1"/>
      <c r="B13" s="6">
        <v>5</v>
      </c>
      <c r="C13" s="18">
        <v>160923733125</v>
      </c>
      <c r="D13" s="7">
        <v>2</v>
      </c>
      <c r="E13" s="8">
        <v>1</v>
      </c>
      <c r="F13" s="8">
        <v>2</v>
      </c>
      <c r="G13" s="8">
        <v>2</v>
      </c>
      <c r="H13" s="8"/>
      <c r="I13" s="8">
        <v>0</v>
      </c>
      <c r="J13" s="8"/>
      <c r="K13" s="8"/>
      <c r="L13" s="8"/>
      <c r="M13" s="9">
        <f t="shared" si="3"/>
        <v>7</v>
      </c>
      <c r="N13" s="10" t="str">
        <f t="shared" si="4"/>
        <v>F</v>
      </c>
      <c r="O13" s="1"/>
      <c r="P13" s="11">
        <f>SUM(LARGE(R13:T13,{1,2}))</f>
        <v>2</v>
      </c>
      <c r="Q13" s="1"/>
      <c r="R13" s="12">
        <f t="shared" si="0"/>
        <v>2</v>
      </c>
      <c r="S13" s="12">
        <f t="shared" si="1"/>
        <v>0</v>
      </c>
      <c r="T13" s="12">
        <f t="shared" si="2"/>
        <v>0</v>
      </c>
      <c r="U13" s="1"/>
      <c r="V13" s="1"/>
      <c r="W13" s="48" t="s">
        <v>37</v>
      </c>
    </row>
    <row r="14" spans="1:23" ht="21.95" customHeight="1">
      <c r="A14" s="1"/>
      <c r="B14" s="13">
        <v>6</v>
      </c>
      <c r="C14" s="18">
        <v>160923733126</v>
      </c>
      <c r="D14" s="7">
        <v>2</v>
      </c>
      <c r="E14" s="8">
        <v>2</v>
      </c>
      <c r="F14" s="8">
        <v>1</v>
      </c>
      <c r="G14" s="8">
        <v>4</v>
      </c>
      <c r="H14" s="8"/>
      <c r="I14" s="8">
        <v>4</v>
      </c>
      <c r="J14" s="8"/>
      <c r="K14" s="8"/>
      <c r="L14" s="8"/>
      <c r="M14" s="9">
        <f t="shared" si="3"/>
        <v>13</v>
      </c>
      <c r="N14" s="10" t="str">
        <f t="shared" si="4"/>
        <v>P</v>
      </c>
      <c r="O14" s="1"/>
      <c r="P14" s="11">
        <f>SUM(LARGE(R14:T14,{1,2}))</f>
        <v>8</v>
      </c>
      <c r="Q14" s="1"/>
      <c r="R14" s="12">
        <f t="shared" si="0"/>
        <v>4</v>
      </c>
      <c r="S14" s="12">
        <f t="shared" si="1"/>
        <v>4</v>
      </c>
      <c r="T14" s="12">
        <f t="shared" si="2"/>
        <v>0</v>
      </c>
      <c r="U14" s="1"/>
      <c r="V14" s="1"/>
      <c r="W14" s="48" t="s">
        <v>38</v>
      </c>
    </row>
    <row r="15" spans="1:23" ht="21.95" customHeight="1">
      <c r="A15" s="1"/>
      <c r="B15" s="6">
        <v>7</v>
      </c>
      <c r="C15" s="18">
        <v>160923733127</v>
      </c>
      <c r="D15" s="7">
        <v>1</v>
      </c>
      <c r="E15" s="8">
        <v>0</v>
      </c>
      <c r="F15" s="8">
        <v>1</v>
      </c>
      <c r="G15" s="8">
        <v>4</v>
      </c>
      <c r="H15" s="8"/>
      <c r="I15" s="8"/>
      <c r="J15" s="8"/>
      <c r="K15" s="8">
        <v>3</v>
      </c>
      <c r="L15" s="8"/>
      <c r="M15" s="9">
        <f t="shared" si="3"/>
        <v>9</v>
      </c>
      <c r="N15" s="10" t="str">
        <f t="shared" si="4"/>
        <v>P</v>
      </c>
      <c r="O15" s="1"/>
      <c r="P15" s="11">
        <f>SUM(LARGE(R15:T15,{1,2}))</f>
        <v>7</v>
      </c>
      <c r="Q15" s="1"/>
      <c r="R15" s="12">
        <f t="shared" si="0"/>
        <v>4</v>
      </c>
      <c r="S15" s="12">
        <f t="shared" si="1"/>
        <v>0</v>
      </c>
      <c r="T15" s="12">
        <f t="shared" si="2"/>
        <v>3</v>
      </c>
      <c r="U15" s="1"/>
      <c r="V15" s="1"/>
      <c r="W15" s="48" t="s">
        <v>39</v>
      </c>
    </row>
    <row r="16" spans="1:23" ht="21.95" customHeight="1">
      <c r="A16" s="1"/>
      <c r="B16" s="13">
        <v>8</v>
      </c>
      <c r="C16" s="18">
        <v>160923733129</v>
      </c>
      <c r="D16" s="7">
        <v>2</v>
      </c>
      <c r="E16" s="8">
        <v>0</v>
      </c>
      <c r="F16" s="8">
        <v>1</v>
      </c>
      <c r="G16" s="8">
        <v>4</v>
      </c>
      <c r="H16" s="8"/>
      <c r="I16" s="8"/>
      <c r="J16" s="8"/>
      <c r="K16" s="8">
        <v>4</v>
      </c>
      <c r="L16" s="8"/>
      <c r="M16" s="9">
        <f t="shared" si="3"/>
        <v>11</v>
      </c>
      <c r="N16" s="10" t="str">
        <f t="shared" si="4"/>
        <v>P</v>
      </c>
      <c r="O16" s="1"/>
      <c r="P16" s="11">
        <f>SUM(LARGE(R16:T16,{1,2}))</f>
        <v>8</v>
      </c>
      <c r="Q16" s="1"/>
      <c r="R16" s="12">
        <f t="shared" si="0"/>
        <v>4</v>
      </c>
      <c r="S16" s="12">
        <f t="shared" si="1"/>
        <v>0</v>
      </c>
      <c r="T16" s="12">
        <f t="shared" si="2"/>
        <v>4</v>
      </c>
      <c r="U16" s="1"/>
      <c r="V16" s="1"/>
      <c r="W16" s="48" t="s">
        <v>40</v>
      </c>
    </row>
    <row r="17" spans="1:23" ht="21.95" customHeight="1">
      <c r="A17" s="1"/>
      <c r="B17" s="6">
        <v>9</v>
      </c>
      <c r="C17" s="18">
        <v>160923733130</v>
      </c>
      <c r="D17" s="7">
        <v>2</v>
      </c>
      <c r="E17" s="8">
        <v>2</v>
      </c>
      <c r="F17" s="8">
        <v>2</v>
      </c>
      <c r="G17" s="8">
        <v>6</v>
      </c>
      <c r="H17" s="8"/>
      <c r="I17" s="8">
        <v>2</v>
      </c>
      <c r="J17" s="8"/>
      <c r="K17" s="8"/>
      <c r="L17" s="8"/>
      <c r="M17" s="9">
        <f t="shared" si="3"/>
        <v>14</v>
      </c>
      <c r="N17" s="10" t="str">
        <f t="shared" si="4"/>
        <v>P</v>
      </c>
      <c r="O17" s="1"/>
      <c r="P17" s="11">
        <f>SUM(LARGE(R17:T17,{1,2}))</f>
        <v>8</v>
      </c>
      <c r="Q17" s="1"/>
      <c r="R17" s="12">
        <f t="shared" si="0"/>
        <v>6</v>
      </c>
      <c r="S17" s="12">
        <f t="shared" si="1"/>
        <v>2</v>
      </c>
      <c r="T17" s="12">
        <f t="shared" si="2"/>
        <v>0</v>
      </c>
      <c r="U17" s="1"/>
      <c r="V17" s="1"/>
      <c r="W17" s="48" t="s">
        <v>41</v>
      </c>
    </row>
    <row r="18" spans="1:23" ht="21.95" customHeight="1">
      <c r="A18" s="1"/>
      <c r="B18" s="13">
        <v>10</v>
      </c>
      <c r="C18" s="18">
        <v>160923733131</v>
      </c>
      <c r="D18" s="7">
        <v>2</v>
      </c>
      <c r="E18" s="8">
        <v>0</v>
      </c>
      <c r="F18" s="8">
        <v>1</v>
      </c>
      <c r="G18" s="8">
        <v>4</v>
      </c>
      <c r="H18" s="8"/>
      <c r="I18" s="8">
        <v>3</v>
      </c>
      <c r="J18" s="8"/>
      <c r="K18" s="8"/>
      <c r="L18" s="8"/>
      <c r="M18" s="9">
        <f t="shared" si="3"/>
        <v>10</v>
      </c>
      <c r="N18" s="10" t="str">
        <f t="shared" si="4"/>
        <v>P</v>
      </c>
      <c r="O18" s="1"/>
      <c r="P18" s="11">
        <f>SUM(LARGE(R18:T18,{1,2}))</f>
        <v>7</v>
      </c>
      <c r="Q18" s="1"/>
      <c r="R18" s="12">
        <f t="shared" si="0"/>
        <v>4</v>
      </c>
      <c r="S18" s="12">
        <f t="shared" si="1"/>
        <v>3</v>
      </c>
      <c r="T18" s="12">
        <f t="shared" si="2"/>
        <v>0</v>
      </c>
      <c r="U18" s="1"/>
      <c r="V18" s="1"/>
      <c r="W18" s="48" t="s">
        <v>42</v>
      </c>
    </row>
    <row r="19" spans="1:23" ht="21.95" customHeight="1">
      <c r="A19" s="1"/>
      <c r="B19" s="6">
        <v>11</v>
      </c>
      <c r="C19" s="18">
        <v>160923733132</v>
      </c>
      <c r="D19" s="7">
        <v>1</v>
      </c>
      <c r="E19" s="8">
        <v>0</v>
      </c>
      <c r="F19" s="8">
        <v>0</v>
      </c>
      <c r="G19" s="8">
        <v>4</v>
      </c>
      <c r="H19" s="8"/>
      <c r="I19" s="8">
        <v>2</v>
      </c>
      <c r="J19" s="8"/>
      <c r="K19" s="8"/>
      <c r="L19" s="8"/>
      <c r="M19" s="9">
        <f t="shared" si="3"/>
        <v>7</v>
      </c>
      <c r="N19" s="10" t="str">
        <f t="shared" si="4"/>
        <v>F</v>
      </c>
      <c r="O19" s="1"/>
      <c r="P19" s="11">
        <f>SUM(LARGE(R19:T19,{1,2}))</f>
        <v>6</v>
      </c>
      <c r="Q19" s="1"/>
      <c r="R19" s="12">
        <f t="shared" si="0"/>
        <v>4</v>
      </c>
      <c r="S19" s="12">
        <f t="shared" si="1"/>
        <v>2</v>
      </c>
      <c r="T19" s="12">
        <f t="shared" si="2"/>
        <v>0</v>
      </c>
      <c r="U19" s="1"/>
      <c r="V19" s="1"/>
      <c r="W19" s="48" t="s">
        <v>43</v>
      </c>
    </row>
    <row r="20" spans="1:23" ht="21.95" customHeight="1">
      <c r="A20" s="1"/>
      <c r="B20" s="13">
        <v>12</v>
      </c>
      <c r="C20" s="18">
        <v>160923733133</v>
      </c>
      <c r="D20" s="7">
        <v>2</v>
      </c>
      <c r="E20" s="8">
        <v>2</v>
      </c>
      <c r="F20" s="8">
        <v>1</v>
      </c>
      <c r="G20" s="8">
        <v>3</v>
      </c>
      <c r="H20" s="8"/>
      <c r="I20" s="8">
        <v>4</v>
      </c>
      <c r="J20" s="8"/>
      <c r="K20" s="8"/>
      <c r="L20" s="8"/>
      <c r="M20" s="9">
        <f t="shared" si="3"/>
        <v>12</v>
      </c>
      <c r="N20" s="10" t="str">
        <f t="shared" si="4"/>
        <v>P</v>
      </c>
      <c r="O20" s="1"/>
      <c r="P20" s="11">
        <f>SUM(LARGE(R20:T20,{1,2}))</f>
        <v>7</v>
      </c>
      <c r="Q20" s="1"/>
      <c r="R20" s="12">
        <f t="shared" si="0"/>
        <v>3</v>
      </c>
      <c r="S20" s="12">
        <f t="shared" si="1"/>
        <v>4</v>
      </c>
      <c r="T20" s="12">
        <f t="shared" si="2"/>
        <v>0</v>
      </c>
      <c r="U20" s="1"/>
      <c r="V20" s="1"/>
      <c r="W20" s="48" t="s">
        <v>44</v>
      </c>
    </row>
    <row r="21" spans="1:23" ht="21.95" customHeight="1">
      <c r="A21" s="1"/>
      <c r="B21" s="6">
        <v>13</v>
      </c>
      <c r="C21" s="18">
        <v>160923733134</v>
      </c>
      <c r="D21" s="7">
        <v>0</v>
      </c>
      <c r="E21" s="8">
        <v>2</v>
      </c>
      <c r="F21" s="8">
        <v>1</v>
      </c>
      <c r="G21" s="8">
        <v>6</v>
      </c>
      <c r="H21" s="8"/>
      <c r="I21" s="8"/>
      <c r="J21" s="8"/>
      <c r="K21" s="8">
        <v>3</v>
      </c>
      <c r="L21" s="8"/>
      <c r="M21" s="9">
        <f t="shared" si="3"/>
        <v>12</v>
      </c>
      <c r="N21" s="10" t="str">
        <f t="shared" si="4"/>
        <v>P</v>
      </c>
      <c r="O21" s="1"/>
      <c r="P21" s="11">
        <f>SUM(LARGE(R21:T21,{1,2}))</f>
        <v>9</v>
      </c>
      <c r="Q21" s="1"/>
      <c r="R21" s="12">
        <f t="shared" si="0"/>
        <v>6</v>
      </c>
      <c r="S21" s="12">
        <f t="shared" si="1"/>
        <v>0</v>
      </c>
      <c r="T21" s="12">
        <f t="shared" si="2"/>
        <v>3</v>
      </c>
      <c r="U21" s="1"/>
      <c r="V21" s="1"/>
      <c r="W21" s="48" t="s">
        <v>45</v>
      </c>
    </row>
    <row r="22" spans="1:23" ht="21.95" customHeight="1">
      <c r="A22" s="1"/>
      <c r="B22" s="13">
        <v>14</v>
      </c>
      <c r="C22" s="18">
        <v>160923733135</v>
      </c>
      <c r="D22" s="7">
        <v>2</v>
      </c>
      <c r="E22" s="8">
        <v>2</v>
      </c>
      <c r="F22" s="8">
        <v>1</v>
      </c>
      <c r="G22" s="8">
        <v>3</v>
      </c>
      <c r="H22" s="8"/>
      <c r="I22" s="8">
        <v>2</v>
      </c>
      <c r="J22" s="8"/>
      <c r="K22" s="8"/>
      <c r="L22" s="8"/>
      <c r="M22" s="9">
        <f t="shared" si="3"/>
        <v>10</v>
      </c>
      <c r="N22" s="10" t="str">
        <f t="shared" si="4"/>
        <v>P</v>
      </c>
      <c r="O22" s="1"/>
      <c r="P22" s="11">
        <f>SUM(LARGE(R22:T22,{1,2}))</f>
        <v>5</v>
      </c>
      <c r="Q22" s="1"/>
      <c r="R22" s="12">
        <f t="shared" si="0"/>
        <v>3</v>
      </c>
      <c r="S22" s="12">
        <f t="shared" si="1"/>
        <v>2</v>
      </c>
      <c r="T22" s="12">
        <f t="shared" si="2"/>
        <v>0</v>
      </c>
      <c r="U22" s="1"/>
      <c r="V22" s="1"/>
      <c r="W22" s="48" t="s">
        <v>46</v>
      </c>
    </row>
    <row r="23" spans="1:23" ht="21.95" customHeight="1">
      <c r="A23" s="1"/>
      <c r="B23" s="6">
        <v>15</v>
      </c>
      <c r="C23" s="18">
        <v>160923733136</v>
      </c>
      <c r="D23" s="7">
        <v>1</v>
      </c>
      <c r="E23" s="8">
        <v>0</v>
      </c>
      <c r="F23" s="8">
        <v>2</v>
      </c>
      <c r="G23" s="8">
        <v>3</v>
      </c>
      <c r="H23" s="8"/>
      <c r="I23" s="8"/>
      <c r="J23" s="8"/>
      <c r="K23" s="8">
        <v>0</v>
      </c>
      <c r="L23" s="8"/>
      <c r="M23" s="9">
        <f t="shared" si="3"/>
        <v>6</v>
      </c>
      <c r="N23" s="10" t="str">
        <f t="shared" si="4"/>
        <v>F</v>
      </c>
      <c r="O23" s="1"/>
      <c r="P23" s="11">
        <f>SUM(LARGE(R23:T23,{1,2}))</f>
        <v>3</v>
      </c>
      <c r="Q23" s="1"/>
      <c r="R23" s="12">
        <f t="shared" si="0"/>
        <v>3</v>
      </c>
      <c r="S23" s="12">
        <f t="shared" si="1"/>
        <v>0</v>
      </c>
      <c r="T23" s="12">
        <f t="shared" si="2"/>
        <v>0</v>
      </c>
      <c r="U23" s="1"/>
      <c r="V23" s="1"/>
      <c r="W23" s="48" t="s">
        <v>47</v>
      </c>
    </row>
    <row r="24" spans="1:23" ht="21.95" customHeight="1">
      <c r="A24" s="1"/>
      <c r="B24" s="13">
        <v>16</v>
      </c>
      <c r="C24" s="18">
        <v>160923733137</v>
      </c>
      <c r="D24" s="7">
        <v>2</v>
      </c>
      <c r="E24" s="8">
        <v>1</v>
      </c>
      <c r="F24" s="8">
        <v>1</v>
      </c>
      <c r="G24" s="8">
        <v>2</v>
      </c>
      <c r="H24" s="8"/>
      <c r="I24" s="8"/>
      <c r="J24" s="8"/>
      <c r="K24" s="8">
        <v>0</v>
      </c>
      <c r="L24" s="8"/>
      <c r="M24" s="9">
        <f t="shared" si="3"/>
        <v>6</v>
      </c>
      <c r="N24" s="10" t="str">
        <f t="shared" si="4"/>
        <v>F</v>
      </c>
      <c r="O24" s="1"/>
      <c r="P24" s="11">
        <f>SUM(LARGE(R24:T24,{1,2}))</f>
        <v>2</v>
      </c>
      <c r="Q24" s="1"/>
      <c r="R24" s="12">
        <f t="shared" si="0"/>
        <v>2</v>
      </c>
      <c r="S24" s="12">
        <f t="shared" si="1"/>
        <v>0</v>
      </c>
      <c r="T24" s="12">
        <f t="shared" si="2"/>
        <v>0</v>
      </c>
      <c r="U24" s="1"/>
      <c r="V24" s="1"/>
      <c r="W24" s="48" t="s">
        <v>48</v>
      </c>
    </row>
    <row r="25" spans="1:23" ht="21.95" customHeight="1">
      <c r="A25" s="1"/>
      <c r="B25" s="6">
        <v>17</v>
      </c>
      <c r="C25" s="18">
        <v>160923733138</v>
      </c>
      <c r="D25" s="7">
        <v>2</v>
      </c>
      <c r="E25" s="8">
        <v>0</v>
      </c>
      <c r="F25" s="8">
        <v>0</v>
      </c>
      <c r="G25" s="8">
        <v>4</v>
      </c>
      <c r="H25" s="8"/>
      <c r="I25" s="8">
        <v>3</v>
      </c>
      <c r="J25" s="8"/>
      <c r="K25" s="8"/>
      <c r="L25" s="8"/>
      <c r="M25" s="9">
        <f t="shared" si="3"/>
        <v>9</v>
      </c>
      <c r="N25" s="10" t="str">
        <f t="shared" si="4"/>
        <v>P</v>
      </c>
      <c r="O25" s="1"/>
      <c r="P25" s="11">
        <f>SUM(LARGE(R25:T25,{1,2}))</f>
        <v>7</v>
      </c>
      <c r="Q25" s="1"/>
      <c r="R25" s="12">
        <f t="shared" si="0"/>
        <v>4</v>
      </c>
      <c r="S25" s="12">
        <f t="shared" si="1"/>
        <v>3</v>
      </c>
      <c r="T25" s="12">
        <f t="shared" si="2"/>
        <v>0</v>
      </c>
      <c r="U25" s="1"/>
      <c r="V25" s="1"/>
      <c r="W25" s="48" t="s">
        <v>49</v>
      </c>
    </row>
    <row r="26" spans="1:23" ht="21.95" customHeight="1">
      <c r="A26" s="1"/>
      <c r="B26" s="13">
        <v>18</v>
      </c>
      <c r="C26" s="18">
        <v>160923733139</v>
      </c>
      <c r="D26" s="7">
        <v>1</v>
      </c>
      <c r="E26" s="8">
        <v>0</v>
      </c>
      <c r="F26" s="8">
        <v>0</v>
      </c>
      <c r="G26" s="8">
        <v>2</v>
      </c>
      <c r="H26" s="8"/>
      <c r="I26" s="8">
        <v>2</v>
      </c>
      <c r="J26" s="8"/>
      <c r="K26" s="8"/>
      <c r="L26" s="8"/>
      <c r="M26" s="9">
        <f t="shared" si="3"/>
        <v>5</v>
      </c>
      <c r="N26" s="10" t="str">
        <f t="shared" si="4"/>
        <v>F</v>
      </c>
      <c r="O26" s="1"/>
      <c r="P26" s="11">
        <f>SUM(LARGE(R26:T26,{1,2}))</f>
        <v>4</v>
      </c>
      <c r="Q26" s="1"/>
      <c r="R26" s="12">
        <f t="shared" si="0"/>
        <v>2</v>
      </c>
      <c r="S26" s="12">
        <f t="shared" si="1"/>
        <v>2</v>
      </c>
      <c r="T26" s="12">
        <f t="shared" si="2"/>
        <v>0</v>
      </c>
      <c r="U26" s="1"/>
      <c r="V26" s="1"/>
      <c r="W26" s="48" t="s">
        <v>50</v>
      </c>
    </row>
    <row r="27" spans="1:23" ht="21.95" customHeight="1">
      <c r="A27" s="1"/>
      <c r="B27" s="6">
        <v>19</v>
      </c>
      <c r="C27" s="18">
        <v>160923733140</v>
      </c>
      <c r="D27" s="7">
        <v>1</v>
      </c>
      <c r="E27" s="8">
        <v>1</v>
      </c>
      <c r="F27" s="8">
        <v>1</v>
      </c>
      <c r="G27" s="8">
        <v>3</v>
      </c>
      <c r="H27" s="8"/>
      <c r="I27" s="8">
        <v>1</v>
      </c>
      <c r="J27" s="8"/>
      <c r="K27" s="8"/>
      <c r="L27" s="8"/>
      <c r="M27" s="9">
        <f t="shared" si="3"/>
        <v>7</v>
      </c>
      <c r="N27" s="10" t="str">
        <f t="shared" si="4"/>
        <v>F</v>
      </c>
      <c r="O27" s="1"/>
      <c r="P27" s="11">
        <f>SUM(LARGE(R27:T27,{1,2}))</f>
        <v>4</v>
      </c>
      <c r="Q27" s="1"/>
      <c r="R27" s="12">
        <f t="shared" si="0"/>
        <v>3</v>
      </c>
      <c r="S27" s="12">
        <f t="shared" si="1"/>
        <v>1</v>
      </c>
      <c r="T27" s="12">
        <f t="shared" si="2"/>
        <v>0</v>
      </c>
      <c r="U27" s="1"/>
      <c r="V27" s="1"/>
      <c r="W27" s="48" t="s">
        <v>51</v>
      </c>
    </row>
    <row r="28" spans="1:23" ht="21.95" customHeight="1">
      <c r="A28" s="1"/>
      <c r="B28" s="13">
        <v>20</v>
      </c>
      <c r="C28" s="18">
        <v>160923733141</v>
      </c>
      <c r="D28" s="7">
        <v>1</v>
      </c>
      <c r="E28" s="8">
        <v>1</v>
      </c>
      <c r="F28" s="8">
        <v>2</v>
      </c>
      <c r="G28" s="8"/>
      <c r="H28" s="8"/>
      <c r="I28" s="8">
        <v>4</v>
      </c>
      <c r="J28" s="8"/>
      <c r="K28" s="8">
        <v>5</v>
      </c>
      <c r="L28" s="8"/>
      <c r="M28" s="9">
        <f t="shared" si="3"/>
        <v>13</v>
      </c>
      <c r="N28" s="10" t="str">
        <f t="shared" si="4"/>
        <v>P</v>
      </c>
      <c r="O28" s="1"/>
      <c r="P28" s="11">
        <f>SUM(LARGE(R28:T28,{1,2}))</f>
        <v>9</v>
      </c>
      <c r="Q28" s="1"/>
      <c r="R28" s="12">
        <f t="shared" si="0"/>
        <v>0</v>
      </c>
      <c r="S28" s="12">
        <f t="shared" si="1"/>
        <v>4</v>
      </c>
      <c r="T28" s="12">
        <f t="shared" si="2"/>
        <v>5</v>
      </c>
      <c r="U28" s="1"/>
      <c r="V28" s="1"/>
      <c r="W28" s="48" t="s">
        <v>52</v>
      </c>
    </row>
    <row r="29" spans="1:23" ht="21.95" customHeight="1">
      <c r="A29" s="1"/>
      <c r="B29" s="6">
        <v>21</v>
      </c>
      <c r="C29" s="18">
        <v>160923733142</v>
      </c>
      <c r="D29" s="7">
        <v>2</v>
      </c>
      <c r="E29" s="8">
        <v>2</v>
      </c>
      <c r="F29" s="8">
        <v>2</v>
      </c>
      <c r="G29" s="8">
        <v>6</v>
      </c>
      <c r="H29" s="8"/>
      <c r="I29" s="8">
        <v>4</v>
      </c>
      <c r="J29" s="8"/>
      <c r="K29" s="8"/>
      <c r="L29" s="8"/>
      <c r="M29" s="9">
        <f t="shared" si="3"/>
        <v>16</v>
      </c>
      <c r="N29" s="10" t="str">
        <f t="shared" si="4"/>
        <v>P</v>
      </c>
      <c r="O29" s="1"/>
      <c r="P29" s="11">
        <f>SUM(LARGE(R29:T29,{1,2}))</f>
        <v>10</v>
      </c>
      <c r="Q29" s="1"/>
      <c r="R29" s="12">
        <f t="shared" si="0"/>
        <v>6</v>
      </c>
      <c r="S29" s="12">
        <f t="shared" si="1"/>
        <v>4</v>
      </c>
      <c r="T29" s="12">
        <f t="shared" si="2"/>
        <v>0</v>
      </c>
      <c r="U29" s="1"/>
      <c r="V29" s="1"/>
      <c r="W29" s="48" t="s">
        <v>53</v>
      </c>
    </row>
    <row r="30" spans="1:23" ht="21.95" customHeight="1">
      <c r="A30" s="1"/>
      <c r="B30" s="13">
        <v>22</v>
      </c>
      <c r="C30" s="18">
        <v>160923733143</v>
      </c>
      <c r="D30" s="7">
        <v>0</v>
      </c>
      <c r="E30" s="8">
        <v>0</v>
      </c>
      <c r="F30" s="8">
        <v>2</v>
      </c>
      <c r="G30" s="8">
        <v>3</v>
      </c>
      <c r="H30" s="8"/>
      <c r="I30" s="8"/>
      <c r="J30" s="8"/>
      <c r="K30" s="8">
        <v>3</v>
      </c>
      <c r="L30" s="8"/>
      <c r="M30" s="9">
        <f t="shared" si="3"/>
        <v>8</v>
      </c>
      <c r="N30" s="10" t="str">
        <f t="shared" si="4"/>
        <v>P</v>
      </c>
      <c r="O30" s="1"/>
      <c r="P30" s="11">
        <f>SUM(LARGE(R30:T30,{1,2}))</f>
        <v>6</v>
      </c>
      <c r="Q30" s="1"/>
      <c r="R30" s="12">
        <f t="shared" si="0"/>
        <v>3</v>
      </c>
      <c r="S30" s="12">
        <f t="shared" si="1"/>
        <v>0</v>
      </c>
      <c r="T30" s="12">
        <f t="shared" si="2"/>
        <v>3</v>
      </c>
      <c r="U30" s="1"/>
      <c r="V30" s="1"/>
      <c r="W30" s="48" t="s">
        <v>54</v>
      </c>
    </row>
    <row r="31" spans="1:23" ht="21.95" customHeight="1">
      <c r="A31" s="1"/>
      <c r="B31" s="6">
        <v>23</v>
      </c>
      <c r="C31" s="18">
        <v>160923733144</v>
      </c>
      <c r="D31" s="7">
        <v>2</v>
      </c>
      <c r="E31" s="8">
        <v>1</v>
      </c>
      <c r="F31" s="8">
        <v>1</v>
      </c>
      <c r="G31" s="8">
        <v>4</v>
      </c>
      <c r="H31" s="8"/>
      <c r="I31" s="8">
        <v>4</v>
      </c>
      <c r="J31" s="8"/>
      <c r="K31" s="8"/>
      <c r="L31" s="8"/>
      <c r="M31" s="9">
        <f t="shared" si="3"/>
        <v>12</v>
      </c>
      <c r="N31" s="10" t="str">
        <f t="shared" si="4"/>
        <v>P</v>
      </c>
      <c r="O31" s="1"/>
      <c r="P31" s="11">
        <f>SUM(LARGE(R31:T31,{1,2}))</f>
        <v>8</v>
      </c>
      <c r="Q31" s="1"/>
      <c r="R31" s="12">
        <f t="shared" si="0"/>
        <v>4</v>
      </c>
      <c r="S31" s="12">
        <f t="shared" si="1"/>
        <v>4</v>
      </c>
      <c r="T31" s="12">
        <f t="shared" si="2"/>
        <v>0</v>
      </c>
      <c r="U31" s="1"/>
      <c r="V31" s="1"/>
      <c r="W31" s="48" t="s">
        <v>55</v>
      </c>
    </row>
    <row r="32" spans="1:23" ht="21.95" customHeight="1">
      <c r="A32" s="1"/>
      <c r="B32" s="13">
        <v>24</v>
      </c>
      <c r="C32" s="18">
        <v>160923733145</v>
      </c>
      <c r="D32" s="7">
        <v>1</v>
      </c>
      <c r="E32" s="8">
        <v>0</v>
      </c>
      <c r="F32" s="8">
        <v>1</v>
      </c>
      <c r="G32" s="8">
        <v>5</v>
      </c>
      <c r="H32" s="8"/>
      <c r="I32" s="8">
        <v>0</v>
      </c>
      <c r="J32" s="8"/>
      <c r="K32" s="8"/>
      <c r="L32" s="8"/>
      <c r="M32" s="9">
        <f t="shared" si="3"/>
        <v>7</v>
      </c>
      <c r="N32" s="10" t="str">
        <f t="shared" si="4"/>
        <v>F</v>
      </c>
      <c r="O32" s="1"/>
      <c r="P32" s="11">
        <f>SUM(LARGE(R32:T32,{1,2}))</f>
        <v>5</v>
      </c>
      <c r="Q32" s="1"/>
      <c r="R32" s="12">
        <f t="shared" si="0"/>
        <v>5</v>
      </c>
      <c r="S32" s="12">
        <f t="shared" si="1"/>
        <v>0</v>
      </c>
      <c r="T32" s="12">
        <f t="shared" si="2"/>
        <v>0</v>
      </c>
      <c r="U32" s="1"/>
      <c r="V32" s="1"/>
      <c r="W32" s="48" t="s">
        <v>56</v>
      </c>
    </row>
    <row r="33" spans="1:23" ht="21.95" customHeight="1">
      <c r="A33" s="1"/>
      <c r="B33" s="6">
        <v>25</v>
      </c>
      <c r="C33" s="18">
        <v>160923733146</v>
      </c>
      <c r="D33" s="7">
        <v>0</v>
      </c>
      <c r="E33" s="8">
        <v>0</v>
      </c>
      <c r="F33" s="8">
        <v>0</v>
      </c>
      <c r="G33" s="8">
        <v>0</v>
      </c>
      <c r="H33" s="8"/>
      <c r="I33" s="8">
        <v>0</v>
      </c>
      <c r="J33" s="8"/>
      <c r="K33" s="8">
        <v>0</v>
      </c>
      <c r="L33" s="8"/>
      <c r="M33" s="9">
        <f t="shared" si="3"/>
        <v>0</v>
      </c>
      <c r="N33" s="10" t="str">
        <f t="shared" si="4"/>
        <v>F</v>
      </c>
      <c r="O33" s="1"/>
      <c r="P33" s="11">
        <f>SUM(LARGE(R33:T33,{1,2}))</f>
        <v>0</v>
      </c>
      <c r="Q33" s="1"/>
      <c r="R33" s="12">
        <f t="shared" si="0"/>
        <v>0</v>
      </c>
      <c r="S33" s="12">
        <f t="shared" si="1"/>
        <v>0</v>
      </c>
      <c r="T33" s="12">
        <f t="shared" si="2"/>
        <v>0</v>
      </c>
      <c r="U33" s="1"/>
      <c r="V33" s="1"/>
      <c r="W33" s="48" t="s">
        <v>57</v>
      </c>
    </row>
    <row r="34" spans="1:23" ht="21.95" customHeight="1">
      <c r="A34" s="1"/>
      <c r="B34" s="13">
        <v>26</v>
      </c>
      <c r="C34" s="18">
        <v>160923733147</v>
      </c>
      <c r="D34" s="7">
        <v>1</v>
      </c>
      <c r="E34" s="8">
        <v>0</v>
      </c>
      <c r="F34" s="8">
        <v>0</v>
      </c>
      <c r="G34" s="8">
        <v>3</v>
      </c>
      <c r="H34" s="8"/>
      <c r="I34" s="8">
        <v>0</v>
      </c>
      <c r="J34" s="8"/>
      <c r="K34" s="8"/>
      <c r="L34" s="8"/>
      <c r="M34" s="9">
        <f t="shared" si="3"/>
        <v>4</v>
      </c>
      <c r="N34" s="10" t="str">
        <f t="shared" si="4"/>
        <v>F</v>
      </c>
      <c r="O34" s="1"/>
      <c r="P34" s="11">
        <f>SUM(LARGE(R34:T34,{1,2}))</f>
        <v>3</v>
      </c>
      <c r="Q34" s="1"/>
      <c r="R34" s="12">
        <f t="shared" si="0"/>
        <v>3</v>
      </c>
      <c r="S34" s="12">
        <f t="shared" si="1"/>
        <v>0</v>
      </c>
      <c r="T34" s="12">
        <f t="shared" si="2"/>
        <v>0</v>
      </c>
      <c r="U34" s="1"/>
      <c r="V34" s="1"/>
      <c r="W34" s="48" t="s">
        <v>58</v>
      </c>
    </row>
    <row r="35" spans="1:23" ht="21.95" customHeight="1">
      <c r="A35" s="1"/>
      <c r="B35" s="6">
        <v>27</v>
      </c>
      <c r="C35" s="18">
        <v>160923733148</v>
      </c>
      <c r="D35" s="7">
        <v>0</v>
      </c>
      <c r="E35" s="8">
        <v>0</v>
      </c>
      <c r="F35" s="8">
        <v>1</v>
      </c>
      <c r="G35" s="8">
        <v>2</v>
      </c>
      <c r="H35" s="8"/>
      <c r="I35" s="8"/>
      <c r="J35" s="8"/>
      <c r="K35" s="8"/>
      <c r="L35" s="8"/>
      <c r="M35" s="9">
        <f t="shared" si="3"/>
        <v>3</v>
      </c>
      <c r="N35" s="10" t="str">
        <f t="shared" si="4"/>
        <v>F</v>
      </c>
      <c r="O35" s="1"/>
      <c r="P35" s="11">
        <f>SUM(LARGE(R35:T35,{1,2}))</f>
        <v>2</v>
      </c>
      <c r="Q35" s="1"/>
      <c r="R35" s="12">
        <f t="shared" si="0"/>
        <v>2</v>
      </c>
      <c r="S35" s="12">
        <f t="shared" si="1"/>
        <v>0</v>
      </c>
      <c r="T35" s="12">
        <f t="shared" si="2"/>
        <v>0</v>
      </c>
      <c r="U35" s="1"/>
      <c r="V35" s="1"/>
      <c r="W35" s="48" t="s">
        <v>59</v>
      </c>
    </row>
    <row r="36" spans="1:23" ht="21.95" customHeight="1">
      <c r="A36" s="1"/>
      <c r="B36" s="13">
        <v>28</v>
      </c>
      <c r="C36" s="18">
        <v>160923733149</v>
      </c>
      <c r="D36" s="7">
        <v>1</v>
      </c>
      <c r="E36" s="8">
        <v>0</v>
      </c>
      <c r="F36" s="8">
        <v>1</v>
      </c>
      <c r="G36" s="8">
        <v>3</v>
      </c>
      <c r="H36" s="8"/>
      <c r="I36" s="8">
        <v>0</v>
      </c>
      <c r="J36" s="8"/>
      <c r="K36" s="8"/>
      <c r="L36" s="8"/>
      <c r="M36" s="9">
        <f t="shared" si="3"/>
        <v>5</v>
      </c>
      <c r="N36" s="10" t="str">
        <f t="shared" si="4"/>
        <v>F</v>
      </c>
      <c r="O36" s="1"/>
      <c r="P36" s="11">
        <f>SUM(LARGE(R36:T36,{1,2}))</f>
        <v>3</v>
      </c>
      <c r="Q36" s="1"/>
      <c r="R36" s="12">
        <f t="shared" si="0"/>
        <v>3</v>
      </c>
      <c r="S36" s="12">
        <f t="shared" si="1"/>
        <v>0</v>
      </c>
      <c r="T36" s="12">
        <f t="shared" si="2"/>
        <v>0</v>
      </c>
      <c r="U36" s="1"/>
      <c r="V36" s="1"/>
      <c r="W36" s="48" t="s">
        <v>60</v>
      </c>
    </row>
    <row r="37" spans="1:23" ht="21.95" customHeight="1">
      <c r="A37" s="1"/>
      <c r="B37" s="6">
        <v>29</v>
      </c>
      <c r="C37" s="18">
        <v>160923733150</v>
      </c>
      <c r="D37" s="7">
        <v>2</v>
      </c>
      <c r="E37" s="8">
        <v>1</v>
      </c>
      <c r="F37" s="8">
        <v>1</v>
      </c>
      <c r="G37" s="15">
        <v>3</v>
      </c>
      <c r="H37" s="15"/>
      <c r="I37" s="15"/>
      <c r="J37" s="15"/>
      <c r="K37" s="15"/>
      <c r="L37" s="15"/>
      <c r="M37" s="9">
        <f t="shared" si="3"/>
        <v>7</v>
      </c>
      <c r="N37" s="10" t="str">
        <f t="shared" si="4"/>
        <v>F</v>
      </c>
      <c r="O37" s="1"/>
      <c r="P37" s="11">
        <f>SUM(LARGE(R37:T37,{1,2}))</f>
        <v>3</v>
      </c>
      <c r="Q37" s="1"/>
      <c r="R37" s="12">
        <f t="shared" si="0"/>
        <v>3</v>
      </c>
      <c r="S37" s="12">
        <f t="shared" si="1"/>
        <v>0</v>
      </c>
      <c r="T37" s="12">
        <f t="shared" si="2"/>
        <v>0</v>
      </c>
      <c r="U37" s="1"/>
      <c r="V37" s="1"/>
      <c r="W37" s="48" t="s">
        <v>61</v>
      </c>
    </row>
    <row r="38" spans="1:23" ht="21.95" customHeight="1">
      <c r="A38" s="1"/>
      <c r="B38" s="13">
        <v>30</v>
      </c>
      <c r="C38" s="18">
        <v>160923733151</v>
      </c>
      <c r="D38" s="7">
        <v>2</v>
      </c>
      <c r="E38" s="8">
        <v>2</v>
      </c>
      <c r="F38" s="8">
        <v>1</v>
      </c>
      <c r="G38" s="8"/>
      <c r="H38" s="8"/>
      <c r="I38" s="8">
        <v>3</v>
      </c>
      <c r="J38" s="8"/>
      <c r="K38" s="8">
        <v>3</v>
      </c>
      <c r="L38" s="8"/>
      <c r="M38" s="9">
        <f t="shared" si="3"/>
        <v>11</v>
      </c>
      <c r="N38" s="17" t="str">
        <f t="shared" si="4"/>
        <v>P</v>
      </c>
      <c r="O38" s="1"/>
      <c r="P38" s="11">
        <f>SUM(LARGE(R38:T38,{1,2}))</f>
        <v>6</v>
      </c>
      <c r="Q38" s="1"/>
      <c r="R38" s="12">
        <f t="shared" si="0"/>
        <v>0</v>
      </c>
      <c r="S38" s="12">
        <f t="shared" si="1"/>
        <v>3</v>
      </c>
      <c r="T38" s="12">
        <f t="shared" si="2"/>
        <v>3</v>
      </c>
      <c r="U38" s="1"/>
      <c r="V38" s="1"/>
      <c r="W38" s="48" t="s">
        <v>62</v>
      </c>
    </row>
    <row r="39" spans="1:23" ht="21.95" customHeight="1">
      <c r="A39" s="1"/>
      <c r="B39" s="6">
        <v>31</v>
      </c>
      <c r="C39" s="18">
        <v>160923733152</v>
      </c>
      <c r="D39" s="7">
        <v>1</v>
      </c>
      <c r="E39" s="8">
        <v>1</v>
      </c>
      <c r="F39" s="8">
        <v>1</v>
      </c>
      <c r="G39" s="10">
        <v>2</v>
      </c>
      <c r="H39" s="10"/>
      <c r="I39" s="10"/>
      <c r="J39" s="10"/>
      <c r="K39" s="10">
        <v>2</v>
      </c>
      <c r="L39" s="10"/>
      <c r="M39" s="9">
        <f t="shared" si="3"/>
        <v>7</v>
      </c>
      <c r="N39" s="1"/>
      <c r="O39" s="1"/>
      <c r="P39" s="11">
        <f>SUM(LARGE(R39:T39,{1,2}))</f>
        <v>4</v>
      </c>
      <c r="Q39" s="1"/>
      <c r="R39" s="12">
        <f t="shared" si="0"/>
        <v>2</v>
      </c>
      <c r="S39" s="12">
        <f t="shared" si="1"/>
        <v>0</v>
      </c>
      <c r="T39" s="12">
        <f t="shared" si="2"/>
        <v>2</v>
      </c>
      <c r="U39" s="1"/>
      <c r="V39" s="1"/>
      <c r="W39" s="48" t="s">
        <v>63</v>
      </c>
    </row>
    <row r="40" spans="1:23" ht="21.95" customHeight="1">
      <c r="A40" s="1"/>
      <c r="B40" s="13">
        <v>32</v>
      </c>
      <c r="C40" s="18">
        <v>160923733153</v>
      </c>
      <c r="D40" s="7">
        <v>2</v>
      </c>
      <c r="E40" s="8">
        <v>0</v>
      </c>
      <c r="F40" s="8">
        <v>0</v>
      </c>
      <c r="G40" s="10">
        <v>2</v>
      </c>
      <c r="H40" s="10"/>
      <c r="I40" s="10"/>
      <c r="J40" s="10"/>
      <c r="K40" s="10"/>
      <c r="L40" s="10"/>
      <c r="M40" s="9">
        <f t="shared" si="3"/>
        <v>4</v>
      </c>
      <c r="N40" s="1"/>
      <c r="O40" s="1"/>
      <c r="P40" s="11">
        <f>SUM(LARGE(R40:T40,{1,2}))</f>
        <v>2</v>
      </c>
      <c r="Q40" s="1"/>
      <c r="R40" s="12">
        <f t="shared" si="0"/>
        <v>2</v>
      </c>
      <c r="S40" s="12">
        <f t="shared" si="1"/>
        <v>0</v>
      </c>
      <c r="T40" s="12">
        <f t="shared" si="2"/>
        <v>0</v>
      </c>
      <c r="U40" s="1"/>
      <c r="V40" s="1"/>
      <c r="W40" s="48" t="s">
        <v>64</v>
      </c>
    </row>
    <row r="41" spans="1:23" ht="21.95" customHeight="1">
      <c r="A41" s="1"/>
      <c r="B41" s="6">
        <v>33</v>
      </c>
      <c r="C41" s="18">
        <v>160923733154</v>
      </c>
      <c r="D41" s="7">
        <v>1</v>
      </c>
      <c r="E41" s="8">
        <v>0</v>
      </c>
      <c r="F41" s="8">
        <v>0</v>
      </c>
      <c r="G41" s="10">
        <v>2</v>
      </c>
      <c r="H41" s="10"/>
      <c r="I41" s="10"/>
      <c r="J41" s="10"/>
      <c r="K41" s="10">
        <v>1</v>
      </c>
      <c r="L41" s="10"/>
      <c r="M41" s="9">
        <f t="shared" si="3"/>
        <v>4</v>
      </c>
      <c r="N41" s="1"/>
      <c r="O41" s="1"/>
      <c r="P41" s="11">
        <f>SUM(LARGE(R41:T41,{1,2}))</f>
        <v>3</v>
      </c>
      <c r="Q41" s="1"/>
      <c r="R41" s="12">
        <f t="shared" si="0"/>
        <v>2</v>
      </c>
      <c r="S41" s="12">
        <f t="shared" si="1"/>
        <v>0</v>
      </c>
      <c r="T41" s="12">
        <f t="shared" si="2"/>
        <v>1</v>
      </c>
      <c r="U41" s="1"/>
      <c r="V41" s="1"/>
      <c r="W41" s="48" t="s">
        <v>65</v>
      </c>
    </row>
    <row r="42" spans="1:23" ht="21.95" customHeight="1">
      <c r="A42" s="1"/>
      <c r="B42" s="13">
        <v>34</v>
      </c>
      <c r="C42" s="18">
        <v>160923733155</v>
      </c>
      <c r="D42" s="7">
        <v>0</v>
      </c>
      <c r="E42" s="8">
        <v>0</v>
      </c>
      <c r="F42" s="8">
        <v>0</v>
      </c>
      <c r="G42" s="10">
        <v>4</v>
      </c>
      <c r="H42" s="10"/>
      <c r="I42" s="10"/>
      <c r="J42" s="10"/>
      <c r="K42" s="10"/>
      <c r="L42" s="10"/>
      <c r="M42" s="9">
        <f t="shared" si="3"/>
        <v>4</v>
      </c>
      <c r="N42" s="1"/>
      <c r="O42" s="1"/>
      <c r="P42" s="11">
        <f>SUM(LARGE(R42:T42,{1,2}))</f>
        <v>4</v>
      </c>
      <c r="Q42" s="1"/>
      <c r="R42" s="12">
        <f t="shared" si="0"/>
        <v>4</v>
      </c>
      <c r="S42" s="12">
        <f t="shared" si="1"/>
        <v>0</v>
      </c>
      <c r="T42" s="12">
        <f t="shared" si="2"/>
        <v>0</v>
      </c>
      <c r="U42" s="1"/>
      <c r="V42" s="1"/>
      <c r="W42" s="48" t="s">
        <v>66</v>
      </c>
    </row>
    <row r="43" spans="1:23" ht="21.95" customHeight="1">
      <c r="A43" s="1"/>
      <c r="B43" s="6">
        <v>35</v>
      </c>
      <c r="C43" s="18">
        <v>160923733156</v>
      </c>
      <c r="D43" s="7">
        <v>1</v>
      </c>
      <c r="E43" s="8">
        <v>1</v>
      </c>
      <c r="F43" s="8">
        <v>0</v>
      </c>
      <c r="G43" s="10">
        <v>2</v>
      </c>
      <c r="H43" s="10"/>
      <c r="I43" s="10"/>
      <c r="J43" s="10"/>
      <c r="K43" s="10"/>
      <c r="L43" s="10"/>
      <c r="M43" s="9">
        <f t="shared" si="3"/>
        <v>4</v>
      </c>
      <c r="N43" s="1"/>
      <c r="O43" s="1"/>
      <c r="P43" s="11">
        <f>SUM(LARGE(R43:T43,{1,2}))</f>
        <v>2</v>
      </c>
      <c r="Q43" s="1"/>
      <c r="R43" s="12">
        <f t="shared" si="0"/>
        <v>2</v>
      </c>
      <c r="S43" s="12">
        <f t="shared" si="1"/>
        <v>0</v>
      </c>
      <c r="T43" s="12">
        <f t="shared" si="2"/>
        <v>0</v>
      </c>
      <c r="U43" s="1"/>
      <c r="V43" s="1"/>
      <c r="W43" s="48" t="s">
        <v>67</v>
      </c>
    </row>
    <row r="44" spans="1:23" ht="21.95" customHeight="1">
      <c r="A44" s="1"/>
      <c r="B44" s="13">
        <v>36</v>
      </c>
      <c r="C44" s="18">
        <v>160923733157</v>
      </c>
      <c r="D44" s="7">
        <v>2</v>
      </c>
      <c r="E44" s="8">
        <v>2</v>
      </c>
      <c r="F44" s="8">
        <v>2</v>
      </c>
      <c r="G44" s="10">
        <v>4</v>
      </c>
      <c r="H44" s="10"/>
      <c r="I44" s="10">
        <v>2</v>
      </c>
      <c r="J44" s="10"/>
      <c r="K44" s="10"/>
      <c r="L44" s="10"/>
      <c r="M44" s="9">
        <f t="shared" si="3"/>
        <v>12</v>
      </c>
      <c r="N44" s="1"/>
      <c r="O44" s="1"/>
      <c r="P44" s="11">
        <f>SUM(LARGE(R44:T44,{1,2}))</f>
        <v>6</v>
      </c>
      <c r="Q44" s="1"/>
      <c r="R44" s="12">
        <f t="shared" si="0"/>
        <v>4</v>
      </c>
      <c r="S44" s="12">
        <f t="shared" si="1"/>
        <v>2</v>
      </c>
      <c r="T44" s="12">
        <f t="shared" si="2"/>
        <v>0</v>
      </c>
      <c r="U44" s="1"/>
      <c r="V44" s="1"/>
      <c r="W44" s="48" t="s">
        <v>68</v>
      </c>
    </row>
    <row r="45" spans="1:23" ht="21.95" customHeight="1">
      <c r="A45" s="1"/>
      <c r="B45" s="6">
        <v>37</v>
      </c>
      <c r="C45" s="18">
        <v>160923733158</v>
      </c>
      <c r="D45" s="7">
        <v>1</v>
      </c>
      <c r="E45" s="8">
        <v>2</v>
      </c>
      <c r="F45" s="8">
        <v>2</v>
      </c>
      <c r="G45" s="10"/>
      <c r="H45" s="10"/>
      <c r="I45" s="10"/>
      <c r="J45" s="10"/>
      <c r="K45" s="10">
        <v>6</v>
      </c>
      <c r="L45" s="10"/>
      <c r="M45" s="9">
        <f t="shared" si="3"/>
        <v>11</v>
      </c>
      <c r="N45" s="1"/>
      <c r="O45" s="1"/>
      <c r="P45" s="11">
        <f>SUM(LARGE(R45:T45,{1,2}))</f>
        <v>6</v>
      </c>
      <c r="Q45" s="1"/>
      <c r="R45" s="12">
        <f t="shared" si="0"/>
        <v>0</v>
      </c>
      <c r="S45" s="12">
        <f t="shared" si="1"/>
        <v>0</v>
      </c>
      <c r="T45" s="12">
        <f t="shared" si="2"/>
        <v>6</v>
      </c>
      <c r="U45" s="1"/>
      <c r="V45" s="1"/>
      <c r="W45" s="48" t="s">
        <v>69</v>
      </c>
    </row>
    <row r="46" spans="1:23" ht="21.95" customHeight="1">
      <c r="A46" s="1"/>
      <c r="B46" s="13">
        <v>38</v>
      </c>
      <c r="C46" s="18">
        <v>160923733159</v>
      </c>
      <c r="D46" s="7">
        <v>1</v>
      </c>
      <c r="E46" s="8">
        <v>0</v>
      </c>
      <c r="F46" s="8">
        <v>0</v>
      </c>
      <c r="G46" s="10">
        <v>0</v>
      </c>
      <c r="H46" s="10"/>
      <c r="I46" s="10">
        <v>0</v>
      </c>
      <c r="J46" s="10"/>
      <c r="K46" s="10">
        <v>0</v>
      </c>
      <c r="L46" s="10"/>
      <c r="M46" s="9">
        <f t="shared" si="3"/>
        <v>1</v>
      </c>
      <c r="N46" s="1"/>
      <c r="O46" s="1"/>
      <c r="P46" s="11">
        <f>SUM(LARGE(R46:T46,{1,2}))</f>
        <v>0</v>
      </c>
      <c r="Q46" s="1"/>
      <c r="R46" s="12">
        <f t="shared" si="0"/>
        <v>0</v>
      </c>
      <c r="S46" s="12">
        <f t="shared" si="1"/>
        <v>0</v>
      </c>
      <c r="T46" s="12">
        <f t="shared" si="2"/>
        <v>0</v>
      </c>
      <c r="U46" s="1"/>
      <c r="V46" s="1"/>
      <c r="W46" s="48" t="s">
        <v>70</v>
      </c>
    </row>
    <row r="47" spans="1:23" ht="21.95" customHeight="1">
      <c r="A47" s="1"/>
      <c r="B47" s="6">
        <v>39</v>
      </c>
      <c r="C47" s="18">
        <v>160923733160</v>
      </c>
      <c r="D47" s="7">
        <v>1</v>
      </c>
      <c r="E47" s="8">
        <v>0</v>
      </c>
      <c r="F47" s="8">
        <v>0</v>
      </c>
      <c r="G47" s="10">
        <v>0</v>
      </c>
      <c r="H47" s="10"/>
      <c r="I47" s="10"/>
      <c r="J47" s="10"/>
      <c r="K47" s="10">
        <v>0</v>
      </c>
      <c r="L47" s="10"/>
      <c r="M47" s="9">
        <f t="shared" si="3"/>
        <v>1</v>
      </c>
      <c r="N47" s="1"/>
      <c r="O47" s="1"/>
      <c r="P47" s="11">
        <f>SUM(LARGE(R47:T47,{1,2}))</f>
        <v>0</v>
      </c>
      <c r="Q47" s="1"/>
      <c r="R47" s="12">
        <f t="shared" si="0"/>
        <v>0</v>
      </c>
      <c r="S47" s="12">
        <f t="shared" si="1"/>
        <v>0</v>
      </c>
      <c r="T47" s="12">
        <f t="shared" si="2"/>
        <v>0</v>
      </c>
      <c r="U47" s="1"/>
      <c r="V47" s="1"/>
      <c r="W47" s="48" t="s">
        <v>71</v>
      </c>
    </row>
    <row r="48" spans="1:23" ht="21.95" customHeight="1">
      <c r="A48" s="1"/>
      <c r="B48" s="13">
        <v>40</v>
      </c>
      <c r="C48" s="18">
        <v>160923733161</v>
      </c>
      <c r="D48" s="7">
        <v>1</v>
      </c>
      <c r="E48" s="7">
        <v>1</v>
      </c>
      <c r="F48" s="7">
        <v>1</v>
      </c>
      <c r="G48" s="10"/>
      <c r="H48" s="10"/>
      <c r="I48" s="10">
        <v>2</v>
      </c>
      <c r="J48" s="10"/>
      <c r="K48" s="10">
        <v>2</v>
      </c>
      <c r="L48" s="10"/>
      <c r="M48" s="9">
        <f t="shared" si="3"/>
        <v>7</v>
      </c>
      <c r="N48" s="1"/>
      <c r="O48" s="1"/>
      <c r="P48" s="11">
        <f>SUM(LARGE(R48:T48,{1,2}))</f>
        <v>4</v>
      </c>
      <c r="Q48" s="1"/>
      <c r="R48" s="12">
        <f t="shared" si="0"/>
        <v>0</v>
      </c>
      <c r="S48" s="12">
        <f t="shared" si="1"/>
        <v>2</v>
      </c>
      <c r="T48" s="12">
        <f t="shared" si="2"/>
        <v>2</v>
      </c>
      <c r="U48" s="1"/>
      <c r="V48" s="1"/>
      <c r="W48" s="48" t="s">
        <v>72</v>
      </c>
    </row>
    <row r="49" spans="1:23" ht="21.95" customHeight="1">
      <c r="A49" s="1"/>
      <c r="B49" s="6">
        <v>41</v>
      </c>
      <c r="C49" s="18">
        <v>160923733162</v>
      </c>
      <c r="D49" s="7">
        <v>1</v>
      </c>
      <c r="E49" s="7">
        <v>1</v>
      </c>
      <c r="F49" s="7">
        <v>1</v>
      </c>
      <c r="G49" s="10"/>
      <c r="H49" s="10"/>
      <c r="I49" s="10">
        <v>3</v>
      </c>
      <c r="J49" s="10"/>
      <c r="K49" s="10">
        <v>2</v>
      </c>
      <c r="L49" s="10"/>
      <c r="M49" s="9">
        <f t="shared" si="3"/>
        <v>8</v>
      </c>
      <c r="N49" s="1"/>
      <c r="O49" s="1"/>
      <c r="P49" s="11">
        <f>SUM(LARGE(R49:T49,{1,2}))</f>
        <v>5</v>
      </c>
      <c r="Q49" s="1"/>
      <c r="R49" s="12">
        <f t="shared" si="0"/>
        <v>0</v>
      </c>
      <c r="S49" s="12">
        <f t="shared" si="1"/>
        <v>3</v>
      </c>
      <c r="T49" s="12">
        <f t="shared" si="2"/>
        <v>2</v>
      </c>
      <c r="U49" s="1"/>
      <c r="V49" s="1"/>
      <c r="W49" s="48" t="s">
        <v>73</v>
      </c>
    </row>
    <row r="50" spans="1:23" ht="21.95" customHeight="1">
      <c r="A50" s="1"/>
      <c r="B50" s="13">
        <v>42</v>
      </c>
      <c r="C50" s="18">
        <v>160923733163</v>
      </c>
      <c r="D50" s="7">
        <v>1</v>
      </c>
      <c r="E50" s="7">
        <v>1</v>
      </c>
      <c r="F50" s="7">
        <v>1</v>
      </c>
      <c r="G50" s="10"/>
      <c r="H50" s="10"/>
      <c r="I50" s="10">
        <v>3</v>
      </c>
      <c r="J50" s="10"/>
      <c r="K50" s="10">
        <v>4</v>
      </c>
      <c r="L50" s="10"/>
      <c r="M50" s="9">
        <f t="shared" si="3"/>
        <v>10</v>
      </c>
      <c r="N50" s="1"/>
      <c r="O50" s="1"/>
      <c r="P50" s="11">
        <f>SUM(LARGE(R50:T50,{1,2}))</f>
        <v>7</v>
      </c>
      <c r="Q50" s="1"/>
      <c r="R50" s="12">
        <f t="shared" si="0"/>
        <v>0</v>
      </c>
      <c r="S50" s="12">
        <f t="shared" si="1"/>
        <v>3</v>
      </c>
      <c r="T50" s="12">
        <f t="shared" si="2"/>
        <v>4</v>
      </c>
      <c r="U50" s="1"/>
      <c r="V50" s="1"/>
      <c r="W50" s="48" t="s">
        <v>74</v>
      </c>
    </row>
    <row r="51" spans="1:23" ht="21.95" customHeight="1">
      <c r="A51" s="1"/>
      <c r="B51" s="6">
        <v>43</v>
      </c>
      <c r="C51" s="18">
        <v>160923733164</v>
      </c>
      <c r="D51" s="7">
        <v>0</v>
      </c>
      <c r="E51" s="8">
        <v>0</v>
      </c>
      <c r="F51" s="8">
        <v>0</v>
      </c>
      <c r="G51" s="10">
        <v>2</v>
      </c>
      <c r="H51" s="10"/>
      <c r="I51" s="10">
        <v>0</v>
      </c>
      <c r="J51" s="10"/>
      <c r="K51" s="10">
        <v>0</v>
      </c>
      <c r="L51" s="10"/>
      <c r="M51" s="9">
        <f t="shared" si="3"/>
        <v>2</v>
      </c>
      <c r="N51" s="1"/>
      <c r="O51" s="1"/>
      <c r="P51" s="11">
        <f>SUM(LARGE(R51:T51,{1,2}))</f>
        <v>2</v>
      </c>
      <c r="Q51" s="1"/>
      <c r="R51" s="12">
        <f t="shared" si="0"/>
        <v>2</v>
      </c>
      <c r="S51" s="12">
        <f t="shared" si="1"/>
        <v>0</v>
      </c>
      <c r="T51" s="12">
        <f t="shared" si="2"/>
        <v>0</v>
      </c>
      <c r="U51" s="1"/>
      <c r="V51" s="1"/>
      <c r="W51" s="48" t="s">
        <v>75</v>
      </c>
    </row>
    <row r="52" spans="1:23" ht="21.95" customHeight="1">
      <c r="A52" s="1"/>
      <c r="B52" s="13">
        <v>44</v>
      </c>
      <c r="C52" s="18">
        <v>160923733165</v>
      </c>
      <c r="D52" s="7">
        <v>1</v>
      </c>
      <c r="E52" s="8">
        <v>0</v>
      </c>
      <c r="F52" s="8">
        <v>1</v>
      </c>
      <c r="G52" s="10">
        <v>3</v>
      </c>
      <c r="H52" s="10"/>
      <c r="I52" s="10"/>
      <c r="J52" s="10"/>
      <c r="K52" s="10"/>
      <c r="L52" s="10"/>
      <c r="M52" s="9">
        <f t="shared" si="3"/>
        <v>5</v>
      </c>
      <c r="N52" s="1"/>
      <c r="O52" s="1"/>
      <c r="P52" s="11">
        <f>SUM(LARGE(R52:T52,{1,2}))</f>
        <v>3</v>
      </c>
      <c r="Q52" s="1"/>
      <c r="R52" s="12">
        <f t="shared" si="0"/>
        <v>3</v>
      </c>
      <c r="S52" s="12">
        <f t="shared" si="1"/>
        <v>0</v>
      </c>
      <c r="T52" s="12">
        <f t="shared" si="2"/>
        <v>0</v>
      </c>
      <c r="U52" s="1"/>
      <c r="V52" s="1"/>
      <c r="W52" s="48" t="s">
        <v>76</v>
      </c>
    </row>
    <row r="53" spans="1:23" ht="21.95" customHeight="1">
      <c r="A53" s="1"/>
      <c r="B53" s="6">
        <v>45</v>
      </c>
      <c r="C53" s="18">
        <v>160923733166</v>
      </c>
      <c r="D53" s="7">
        <v>1</v>
      </c>
      <c r="E53" s="8">
        <v>1</v>
      </c>
      <c r="F53" s="8">
        <v>1</v>
      </c>
      <c r="G53" s="10">
        <v>2</v>
      </c>
      <c r="H53" s="10"/>
      <c r="I53" s="10"/>
      <c r="J53" s="10"/>
      <c r="K53" s="10">
        <v>1</v>
      </c>
      <c r="L53" s="10"/>
      <c r="M53" s="9">
        <f t="shared" si="3"/>
        <v>6</v>
      </c>
      <c r="N53" s="1"/>
      <c r="O53" s="1"/>
      <c r="P53" s="11">
        <f>SUM(LARGE(R53:T53,{1,2}))</f>
        <v>3</v>
      </c>
      <c r="Q53" s="1"/>
      <c r="R53" s="12">
        <f t="shared" si="0"/>
        <v>2</v>
      </c>
      <c r="S53" s="12">
        <f t="shared" si="1"/>
        <v>0</v>
      </c>
      <c r="T53" s="12">
        <f t="shared" si="2"/>
        <v>1</v>
      </c>
      <c r="U53" s="1"/>
      <c r="V53" s="1"/>
      <c r="W53" s="48" t="s">
        <v>77</v>
      </c>
    </row>
    <row r="54" spans="1:23" ht="21.95" customHeight="1">
      <c r="A54" s="1"/>
      <c r="B54" s="13">
        <v>46</v>
      </c>
      <c r="C54" s="18">
        <v>160923733167</v>
      </c>
      <c r="D54" s="7">
        <v>2</v>
      </c>
      <c r="E54" s="8">
        <v>1</v>
      </c>
      <c r="F54" s="8">
        <v>1</v>
      </c>
      <c r="G54" s="10">
        <v>2</v>
      </c>
      <c r="H54" s="10"/>
      <c r="I54" s="10">
        <v>0</v>
      </c>
      <c r="J54" s="10"/>
      <c r="K54" s="10"/>
      <c r="L54" s="10"/>
      <c r="M54" s="9">
        <f t="shared" si="3"/>
        <v>6</v>
      </c>
      <c r="N54" s="1"/>
      <c r="O54" s="1"/>
      <c r="P54" s="11">
        <f>SUM(LARGE(R54:T54,{1,2}))</f>
        <v>2</v>
      </c>
      <c r="Q54" s="1"/>
      <c r="R54" s="12">
        <f t="shared" si="0"/>
        <v>2</v>
      </c>
      <c r="S54" s="12">
        <f t="shared" si="1"/>
        <v>0</v>
      </c>
      <c r="T54" s="12">
        <f t="shared" si="2"/>
        <v>0</v>
      </c>
      <c r="U54" s="1"/>
      <c r="V54" s="1"/>
      <c r="W54" s="48" t="s">
        <v>78</v>
      </c>
    </row>
    <row r="55" spans="1:23" ht="21.95" customHeight="1">
      <c r="A55" s="1"/>
      <c r="B55" s="6">
        <v>47</v>
      </c>
      <c r="C55" s="18">
        <v>160923733168</v>
      </c>
      <c r="D55" s="7">
        <v>1</v>
      </c>
      <c r="E55" s="8">
        <v>1</v>
      </c>
      <c r="F55" s="8">
        <v>0</v>
      </c>
      <c r="G55" s="10">
        <v>3</v>
      </c>
      <c r="H55" s="10"/>
      <c r="I55" s="10"/>
      <c r="J55" s="10"/>
      <c r="K55" s="10"/>
      <c r="L55" s="10"/>
      <c r="M55" s="9">
        <f t="shared" si="3"/>
        <v>5</v>
      </c>
      <c r="N55" s="1"/>
      <c r="O55" s="1"/>
      <c r="P55" s="11">
        <f>SUM(LARGE(R55:T55,{1,2}))</f>
        <v>3</v>
      </c>
      <c r="Q55" s="1"/>
      <c r="R55" s="12">
        <f t="shared" si="0"/>
        <v>3</v>
      </c>
      <c r="S55" s="12">
        <f t="shared" si="1"/>
        <v>0</v>
      </c>
      <c r="T55" s="12">
        <f t="shared" si="2"/>
        <v>0</v>
      </c>
      <c r="U55" s="1"/>
      <c r="V55" s="1"/>
      <c r="W55" s="48" t="s">
        <v>79</v>
      </c>
    </row>
    <row r="56" spans="1:23" ht="21.95" customHeight="1">
      <c r="A56" s="1"/>
      <c r="B56" s="13">
        <v>48</v>
      </c>
      <c r="C56" s="18">
        <v>160923733169</v>
      </c>
      <c r="D56" s="7">
        <v>2</v>
      </c>
      <c r="E56" s="8">
        <v>2</v>
      </c>
      <c r="F56" s="8">
        <v>2</v>
      </c>
      <c r="G56" s="10">
        <v>5</v>
      </c>
      <c r="H56" s="10"/>
      <c r="I56" s="10">
        <v>4</v>
      </c>
      <c r="J56" s="10"/>
      <c r="K56" s="10"/>
      <c r="L56" s="10"/>
      <c r="M56" s="9">
        <f t="shared" si="3"/>
        <v>15</v>
      </c>
      <c r="N56" s="1"/>
      <c r="O56" s="1"/>
      <c r="P56" s="11"/>
      <c r="Q56" s="1"/>
      <c r="R56" s="12">
        <f t="shared" si="0"/>
        <v>5</v>
      </c>
      <c r="S56" s="12"/>
      <c r="T56" s="12"/>
      <c r="U56" s="1"/>
      <c r="V56" s="1"/>
      <c r="W56" s="48" t="s">
        <v>80</v>
      </c>
    </row>
    <row r="57" spans="1:23" ht="21.95" customHeight="1">
      <c r="A57" s="1"/>
      <c r="B57" s="6">
        <v>49</v>
      </c>
      <c r="C57" s="18">
        <v>160923733170</v>
      </c>
      <c r="D57" s="7">
        <v>0</v>
      </c>
      <c r="E57" s="8">
        <v>0</v>
      </c>
      <c r="F57" s="8">
        <v>0</v>
      </c>
      <c r="G57" s="10"/>
      <c r="H57" s="10"/>
      <c r="I57" s="10">
        <v>3</v>
      </c>
      <c r="J57" s="10"/>
      <c r="K57" s="10">
        <v>4</v>
      </c>
      <c r="L57" s="10"/>
      <c r="M57" s="9">
        <f t="shared" si="3"/>
        <v>7</v>
      </c>
      <c r="N57" s="1"/>
      <c r="O57" s="1"/>
      <c r="P57" s="11">
        <f>SUM(LARGE(R57:T57,{1,2}))</f>
        <v>7</v>
      </c>
      <c r="Q57" s="1"/>
      <c r="R57" s="12">
        <f t="shared" si="0"/>
        <v>0</v>
      </c>
      <c r="S57" s="12">
        <f t="shared" si="1"/>
        <v>3</v>
      </c>
      <c r="T57" s="12">
        <f t="shared" si="2"/>
        <v>4</v>
      </c>
      <c r="U57" s="1"/>
      <c r="V57" s="1"/>
      <c r="W57" s="48" t="s">
        <v>81</v>
      </c>
    </row>
    <row r="58" spans="1:23" ht="21.95" customHeight="1">
      <c r="A58" s="1"/>
      <c r="B58" s="13">
        <v>50</v>
      </c>
      <c r="C58" s="18">
        <v>160923733171</v>
      </c>
      <c r="D58" s="7">
        <v>1</v>
      </c>
      <c r="E58" s="8">
        <v>2</v>
      </c>
      <c r="F58" s="8">
        <v>2</v>
      </c>
      <c r="G58" s="10">
        <v>4</v>
      </c>
      <c r="H58" s="10"/>
      <c r="I58" s="10">
        <v>4</v>
      </c>
      <c r="J58" s="10"/>
      <c r="K58" s="10"/>
      <c r="L58" s="10"/>
      <c r="M58" s="9">
        <f t="shared" si="3"/>
        <v>13</v>
      </c>
      <c r="N58" s="1"/>
      <c r="O58" s="1"/>
      <c r="P58" s="11">
        <f>SUM(LARGE(R58:T58,{1,2}))</f>
        <v>8</v>
      </c>
      <c r="Q58" s="1"/>
      <c r="R58" s="12">
        <f t="shared" si="0"/>
        <v>4</v>
      </c>
      <c r="S58" s="12">
        <f t="shared" si="1"/>
        <v>4</v>
      </c>
      <c r="T58" s="12">
        <f t="shared" si="2"/>
        <v>0</v>
      </c>
      <c r="U58" s="1"/>
      <c r="V58" s="1"/>
      <c r="W58" s="48" t="s">
        <v>82</v>
      </c>
    </row>
    <row r="59" spans="1:23" ht="21.95" customHeight="1">
      <c r="A59" s="1"/>
      <c r="B59" s="6">
        <v>51</v>
      </c>
      <c r="C59" s="18">
        <v>160923733172</v>
      </c>
      <c r="D59" s="7">
        <v>1</v>
      </c>
      <c r="E59" s="8">
        <v>0</v>
      </c>
      <c r="F59" s="8">
        <v>1</v>
      </c>
      <c r="G59" s="10">
        <v>0</v>
      </c>
      <c r="H59" s="10"/>
      <c r="I59" s="10"/>
      <c r="J59" s="10"/>
      <c r="K59" s="10"/>
      <c r="L59" s="10"/>
      <c r="M59" s="9">
        <f t="shared" si="3"/>
        <v>2</v>
      </c>
      <c r="N59" s="1"/>
      <c r="O59" s="1"/>
      <c r="P59" s="11"/>
      <c r="Q59" s="1"/>
      <c r="R59" s="12">
        <f t="shared" si="0"/>
        <v>0</v>
      </c>
      <c r="S59" s="12"/>
      <c r="T59" s="12"/>
      <c r="U59" s="1"/>
      <c r="V59" s="1"/>
      <c r="W59" s="48" t="s">
        <v>83</v>
      </c>
    </row>
    <row r="60" spans="1:23" ht="21.95" customHeight="1">
      <c r="A60" s="1"/>
      <c r="B60" s="13">
        <v>52</v>
      </c>
      <c r="C60" s="18">
        <v>160923733173</v>
      </c>
      <c r="D60" s="7">
        <v>0</v>
      </c>
      <c r="E60" s="8">
        <v>1</v>
      </c>
      <c r="F60" s="8">
        <v>0</v>
      </c>
      <c r="G60" s="10"/>
      <c r="H60" s="10"/>
      <c r="I60" s="10">
        <v>2</v>
      </c>
      <c r="J60" s="10"/>
      <c r="K60" s="10"/>
      <c r="L60" s="10"/>
      <c r="M60" s="9">
        <f t="shared" si="3"/>
        <v>3</v>
      </c>
      <c r="N60" s="1"/>
      <c r="O60" s="1"/>
      <c r="P60" s="11"/>
      <c r="Q60" s="1"/>
      <c r="R60" s="12"/>
      <c r="S60" s="12"/>
      <c r="T60" s="12"/>
      <c r="U60" s="1"/>
      <c r="V60" s="1"/>
      <c r="W60" s="48" t="s">
        <v>84</v>
      </c>
    </row>
    <row r="61" spans="1:23" ht="21.95" customHeight="1">
      <c r="A61" s="1"/>
      <c r="B61" s="6">
        <v>53</v>
      </c>
      <c r="C61" s="18">
        <v>160923733174</v>
      </c>
      <c r="D61" s="7">
        <v>0</v>
      </c>
      <c r="E61" s="8">
        <v>0</v>
      </c>
      <c r="F61" s="8">
        <v>0</v>
      </c>
      <c r="G61" s="10">
        <v>3</v>
      </c>
      <c r="H61" s="10"/>
      <c r="I61" s="10"/>
      <c r="J61" s="10"/>
      <c r="K61" s="10"/>
      <c r="L61" s="10"/>
      <c r="M61" s="9">
        <f t="shared" si="3"/>
        <v>3</v>
      </c>
      <c r="N61" s="1"/>
      <c r="O61" s="1"/>
      <c r="P61" s="11"/>
      <c r="Q61" s="1"/>
      <c r="R61" s="12"/>
      <c r="S61" s="12"/>
      <c r="T61" s="12"/>
      <c r="U61" s="1"/>
      <c r="V61" s="1"/>
      <c r="W61" s="48" t="s">
        <v>85</v>
      </c>
    </row>
    <row r="62" spans="1:23" ht="21.95" customHeight="1">
      <c r="A62" s="1"/>
      <c r="B62" s="13">
        <v>54</v>
      </c>
      <c r="C62" s="18">
        <v>160923733175</v>
      </c>
      <c r="D62" s="7">
        <v>2</v>
      </c>
      <c r="E62" s="8">
        <v>1</v>
      </c>
      <c r="F62" s="8">
        <v>1</v>
      </c>
      <c r="G62" s="10">
        <v>3</v>
      </c>
      <c r="H62" s="10"/>
      <c r="I62" s="10">
        <v>1</v>
      </c>
      <c r="J62" s="10"/>
      <c r="K62" s="10"/>
      <c r="L62" s="10"/>
      <c r="M62" s="9">
        <f t="shared" si="3"/>
        <v>8</v>
      </c>
      <c r="N62" s="1"/>
      <c r="O62" s="1"/>
      <c r="P62" s="11"/>
      <c r="Q62" s="1"/>
      <c r="R62" s="12"/>
      <c r="S62" s="12"/>
      <c r="T62" s="12"/>
      <c r="U62" s="1"/>
      <c r="V62" s="1"/>
      <c r="W62" s="48" t="s">
        <v>73</v>
      </c>
    </row>
    <row r="63" spans="1:23" ht="21.95" customHeight="1">
      <c r="A63" s="1"/>
      <c r="B63" s="6">
        <v>55</v>
      </c>
      <c r="C63" s="18">
        <v>160923733176</v>
      </c>
      <c r="D63" s="7">
        <v>0</v>
      </c>
      <c r="E63" s="8">
        <v>0</v>
      </c>
      <c r="F63" s="8">
        <v>0</v>
      </c>
      <c r="G63" s="10">
        <v>2</v>
      </c>
      <c r="H63" s="10"/>
      <c r="I63" s="10"/>
      <c r="J63" s="10"/>
      <c r="K63" s="10"/>
      <c r="L63" s="10"/>
      <c r="M63" s="9">
        <f t="shared" si="3"/>
        <v>2</v>
      </c>
      <c r="N63" s="1"/>
      <c r="O63" s="1"/>
      <c r="P63" s="11"/>
      <c r="Q63" s="1"/>
      <c r="R63" s="12"/>
      <c r="S63" s="12"/>
      <c r="T63" s="12"/>
      <c r="U63" s="1"/>
      <c r="V63" s="1"/>
      <c r="W63" s="48" t="s">
        <v>86</v>
      </c>
    </row>
    <row r="64" spans="1:23" ht="21.95" customHeight="1">
      <c r="A64" s="1"/>
      <c r="B64" s="13">
        <v>56</v>
      </c>
      <c r="C64" s="18">
        <v>160923733178</v>
      </c>
      <c r="D64" s="7">
        <v>2</v>
      </c>
      <c r="E64" s="8">
        <v>1</v>
      </c>
      <c r="F64" s="8">
        <v>1</v>
      </c>
      <c r="G64" s="10"/>
      <c r="H64" s="10"/>
      <c r="I64" s="10"/>
      <c r="J64" s="10"/>
      <c r="K64" s="10">
        <v>4</v>
      </c>
      <c r="L64" s="10"/>
      <c r="M64" s="9">
        <f t="shared" si="3"/>
        <v>8</v>
      </c>
      <c r="N64" s="1"/>
      <c r="O64" s="1"/>
      <c r="P64" s="11"/>
      <c r="Q64" s="1"/>
      <c r="R64" s="12"/>
      <c r="S64" s="12"/>
      <c r="T64" s="12"/>
      <c r="U64" s="1"/>
      <c r="V64" s="1"/>
      <c r="W64" s="48" t="s">
        <v>87</v>
      </c>
    </row>
    <row r="65" spans="1:23" ht="21.95" customHeight="1">
      <c r="A65" s="1"/>
      <c r="B65" s="6">
        <v>57</v>
      </c>
      <c r="C65" s="18">
        <v>160923733179</v>
      </c>
      <c r="D65" s="7">
        <v>2</v>
      </c>
      <c r="E65" s="8">
        <v>1</v>
      </c>
      <c r="F65" s="8">
        <v>1</v>
      </c>
      <c r="G65" s="10">
        <v>2</v>
      </c>
      <c r="H65" s="10"/>
      <c r="I65" s="10"/>
      <c r="J65" s="10"/>
      <c r="K65" s="10">
        <v>1</v>
      </c>
      <c r="L65" s="10"/>
      <c r="M65" s="9">
        <f t="shared" si="3"/>
        <v>7</v>
      </c>
      <c r="N65" s="1"/>
      <c r="O65" s="1"/>
      <c r="P65" s="11"/>
      <c r="Q65" s="1"/>
      <c r="R65" s="12"/>
      <c r="S65" s="12"/>
      <c r="T65" s="12"/>
      <c r="U65" s="1"/>
      <c r="V65" s="1"/>
      <c r="W65" s="48" t="s">
        <v>88</v>
      </c>
    </row>
    <row r="66" spans="1:23" ht="21.95" customHeight="1">
      <c r="A66" s="1"/>
      <c r="B66" s="13">
        <v>58</v>
      </c>
      <c r="C66" s="18">
        <v>160923733180</v>
      </c>
      <c r="D66" s="7">
        <v>1</v>
      </c>
      <c r="E66" s="8">
        <v>0</v>
      </c>
      <c r="F66" s="8">
        <v>1</v>
      </c>
      <c r="G66" s="10"/>
      <c r="H66" s="10"/>
      <c r="I66" s="10">
        <v>2</v>
      </c>
      <c r="J66" s="10"/>
      <c r="K66" s="10">
        <v>4</v>
      </c>
      <c r="L66" s="10"/>
      <c r="M66" s="9">
        <f t="shared" si="3"/>
        <v>8</v>
      </c>
      <c r="N66" s="1"/>
      <c r="O66" s="1"/>
      <c r="P66" s="11"/>
      <c r="Q66" s="1"/>
      <c r="R66" s="12"/>
      <c r="S66" s="12"/>
      <c r="T66" s="12"/>
      <c r="U66" s="1"/>
      <c r="V66" s="1"/>
      <c r="W66" s="48" t="s">
        <v>89</v>
      </c>
    </row>
    <row r="67" spans="1:23" ht="21.95" customHeight="1">
      <c r="A67" s="1"/>
      <c r="B67" s="6">
        <v>59</v>
      </c>
      <c r="C67" s="18">
        <v>160923733313</v>
      </c>
      <c r="D67" s="7">
        <v>2</v>
      </c>
      <c r="E67" s="8">
        <v>1</v>
      </c>
      <c r="F67" s="8">
        <v>2</v>
      </c>
      <c r="G67" s="10">
        <v>1</v>
      </c>
      <c r="H67" s="10"/>
      <c r="I67" s="10"/>
      <c r="J67" s="10"/>
      <c r="K67" s="10"/>
      <c r="L67" s="10"/>
      <c r="M67" s="9">
        <f t="shared" si="3"/>
        <v>6</v>
      </c>
      <c r="N67" s="1"/>
      <c r="O67" s="1"/>
      <c r="P67" s="11"/>
      <c r="Q67" s="1"/>
      <c r="R67" s="12"/>
      <c r="S67" s="12"/>
      <c r="T67" s="12"/>
      <c r="U67" s="1"/>
      <c r="V67" s="1"/>
      <c r="W67" s="49" t="s">
        <v>90</v>
      </c>
    </row>
    <row r="68" spans="1:23" ht="21.95" customHeight="1">
      <c r="A68" s="1"/>
      <c r="B68" s="13">
        <v>60</v>
      </c>
      <c r="C68" s="18">
        <v>160923733314</v>
      </c>
      <c r="D68" s="7">
        <v>1</v>
      </c>
      <c r="E68" s="8">
        <v>1</v>
      </c>
      <c r="F68" s="8">
        <v>2</v>
      </c>
      <c r="G68" s="10">
        <v>4</v>
      </c>
      <c r="H68" s="10"/>
      <c r="I68" s="10">
        <v>2</v>
      </c>
      <c r="J68" s="10"/>
      <c r="K68" s="10"/>
      <c r="L68" s="10"/>
      <c r="M68" s="9">
        <f t="shared" si="3"/>
        <v>10</v>
      </c>
      <c r="N68" s="1"/>
      <c r="O68" s="1"/>
      <c r="P68" s="11"/>
      <c r="Q68" s="1"/>
      <c r="R68" s="12"/>
      <c r="S68" s="12"/>
      <c r="T68" s="12"/>
      <c r="U68" s="1"/>
      <c r="V68" s="1"/>
      <c r="W68" s="50" t="s">
        <v>91</v>
      </c>
    </row>
    <row r="69" spans="1:23" ht="21.95" customHeight="1">
      <c r="A69" s="1"/>
      <c r="B69" s="6">
        <v>61</v>
      </c>
      <c r="C69" s="18">
        <v>160923733315</v>
      </c>
      <c r="D69" s="7">
        <v>0</v>
      </c>
      <c r="E69" s="8">
        <v>0</v>
      </c>
      <c r="F69" s="8">
        <v>0</v>
      </c>
      <c r="G69" s="10">
        <v>0</v>
      </c>
      <c r="H69" s="10"/>
      <c r="I69" s="10">
        <v>0</v>
      </c>
      <c r="J69" s="10"/>
      <c r="K69" s="10">
        <v>0</v>
      </c>
      <c r="L69" s="10"/>
      <c r="M69" s="9">
        <f t="shared" si="3"/>
        <v>0</v>
      </c>
      <c r="N69" s="1"/>
      <c r="O69" s="1"/>
      <c r="P69" s="11"/>
      <c r="Q69" s="1"/>
      <c r="R69" s="12"/>
      <c r="S69" s="12"/>
      <c r="T69" s="12"/>
      <c r="U69" s="1"/>
      <c r="V69" s="1"/>
      <c r="W69" s="49" t="s">
        <v>92</v>
      </c>
    </row>
    <row r="70" spans="1:23" ht="21.95" customHeight="1">
      <c r="A70" s="1"/>
      <c r="B70" s="13">
        <v>62</v>
      </c>
      <c r="C70" s="18">
        <v>160923733316</v>
      </c>
      <c r="D70" s="7">
        <v>0</v>
      </c>
      <c r="E70" s="8">
        <v>0</v>
      </c>
      <c r="F70" s="8">
        <v>1</v>
      </c>
      <c r="G70" s="10">
        <v>4</v>
      </c>
      <c r="H70" s="10"/>
      <c r="I70" s="10">
        <v>2</v>
      </c>
      <c r="J70" s="10"/>
      <c r="K70" s="10"/>
      <c r="L70" s="10"/>
      <c r="M70" s="9">
        <f t="shared" si="3"/>
        <v>7</v>
      </c>
      <c r="N70" s="1"/>
      <c r="O70" s="1"/>
      <c r="P70" s="11"/>
      <c r="Q70" s="1"/>
      <c r="R70" s="12"/>
      <c r="S70" s="12"/>
      <c r="T70" s="12"/>
      <c r="U70" s="1"/>
      <c r="V70" s="1"/>
      <c r="W70" s="50" t="s">
        <v>93</v>
      </c>
    </row>
    <row r="71" spans="1:23" ht="21.95" customHeight="1">
      <c r="A71" s="1"/>
      <c r="B71" s="6">
        <v>63</v>
      </c>
      <c r="C71" s="18">
        <v>160923733317</v>
      </c>
      <c r="D71" s="7">
        <v>2</v>
      </c>
      <c r="E71" s="8">
        <v>2</v>
      </c>
      <c r="F71" s="8">
        <v>2</v>
      </c>
      <c r="G71" s="10">
        <v>5</v>
      </c>
      <c r="H71" s="10"/>
      <c r="I71" s="10"/>
      <c r="J71" s="10"/>
      <c r="K71" s="10">
        <v>2</v>
      </c>
      <c r="L71" s="10"/>
      <c r="M71" s="9">
        <f t="shared" si="3"/>
        <v>13</v>
      </c>
      <c r="N71" s="1"/>
      <c r="O71" s="1"/>
      <c r="P71" s="11"/>
      <c r="Q71" s="1"/>
      <c r="R71" s="12"/>
      <c r="S71" s="12"/>
      <c r="T71" s="12"/>
      <c r="U71" s="1"/>
      <c r="V71" s="1"/>
      <c r="W71" s="49" t="s">
        <v>94</v>
      </c>
    </row>
    <row r="72" spans="1:23" ht="21.95" customHeight="1">
      <c r="A72" s="1"/>
      <c r="B72" s="13">
        <v>64</v>
      </c>
      <c r="C72" s="18">
        <v>160923733318</v>
      </c>
      <c r="D72" s="7">
        <v>1</v>
      </c>
      <c r="E72" s="8">
        <v>1</v>
      </c>
      <c r="F72" s="8">
        <v>2</v>
      </c>
      <c r="G72" s="2">
        <v>3</v>
      </c>
      <c r="H72" s="10"/>
      <c r="I72" s="10">
        <v>2</v>
      </c>
      <c r="J72" s="10"/>
      <c r="K72" s="10"/>
      <c r="L72" s="10"/>
      <c r="M72" s="9">
        <f t="shared" si="3"/>
        <v>9</v>
      </c>
      <c r="N72" s="1"/>
      <c r="O72" s="1"/>
      <c r="P72" s="11"/>
      <c r="Q72" s="1"/>
      <c r="R72" s="12"/>
      <c r="S72" s="12"/>
      <c r="T72" s="12"/>
      <c r="U72" s="1"/>
      <c r="V72" s="1"/>
      <c r="W72" s="50" t="s">
        <v>95</v>
      </c>
    </row>
    <row r="73" spans="1:23" ht="15.75" customHeight="1">
      <c r="A73" s="1"/>
      <c r="B73" s="22" t="s">
        <v>16</v>
      </c>
      <c r="C73" s="22"/>
      <c r="D73" s="23" t="s">
        <v>17</v>
      </c>
      <c r="E73" s="24"/>
      <c r="F73" s="24"/>
      <c r="G73" s="24"/>
      <c r="H73" s="24"/>
      <c r="I73" s="25"/>
      <c r="J73" s="26" t="s">
        <v>18</v>
      </c>
      <c r="K73" s="26"/>
      <c r="L73" s="26"/>
      <c r="M73" s="26"/>
      <c r="N73" s="1"/>
      <c r="O73" s="1"/>
      <c r="P73" s="11">
        <f>SUM(LARGE(R73:T73,{1,2}))</f>
        <v>0</v>
      </c>
      <c r="Q73" s="1"/>
      <c r="R73" s="12">
        <f t="shared" si="0"/>
        <v>0</v>
      </c>
      <c r="S73" s="12">
        <f t="shared" si="1"/>
        <v>0</v>
      </c>
      <c r="T73" s="12">
        <f t="shared" si="2"/>
        <v>0</v>
      </c>
      <c r="U73" s="1"/>
      <c r="V73" s="1"/>
    </row>
    <row r="74" spans="1:23" ht="30" customHeight="1">
      <c r="A74" s="1"/>
      <c r="B74" s="27"/>
      <c r="C74" s="27"/>
      <c r="D74" s="27" t="s">
        <v>32</v>
      </c>
      <c r="E74" s="27"/>
      <c r="F74" s="27"/>
      <c r="G74" s="27"/>
      <c r="H74" s="27"/>
      <c r="I74" s="27"/>
      <c r="J74" s="27"/>
      <c r="K74" s="27"/>
      <c r="L74" s="27"/>
      <c r="M74" s="27"/>
      <c r="N74" s="1"/>
      <c r="O74" s="1"/>
      <c r="P74" s="11">
        <f>SUM(LARGE(R74:T74,{1,2}))</f>
        <v>0</v>
      </c>
      <c r="Q74" s="1"/>
      <c r="R74" s="12">
        <f t="shared" si="0"/>
        <v>0</v>
      </c>
      <c r="S74" s="12">
        <f t="shared" si="1"/>
        <v>0</v>
      </c>
      <c r="T74" s="12">
        <f t="shared" si="2"/>
        <v>0</v>
      </c>
      <c r="U74" s="1"/>
      <c r="V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1">
        <f>SUM(LARGE(R75:T75,{1,2}))</f>
        <v>0</v>
      </c>
      <c r="Q75" s="1"/>
      <c r="R75" s="12">
        <f t="shared" si="0"/>
        <v>0</v>
      </c>
      <c r="S75" s="12">
        <f t="shared" si="1"/>
        <v>0</v>
      </c>
      <c r="T75" s="12">
        <f t="shared" si="2"/>
        <v>0</v>
      </c>
      <c r="U75" s="1"/>
      <c r="V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1">
        <f>SUM(LARGE(R76:T76,{1,2}))</f>
        <v>0</v>
      </c>
      <c r="Q76" s="1"/>
      <c r="R76" s="12">
        <f t="shared" si="0"/>
        <v>0</v>
      </c>
      <c r="S76" s="12">
        <f t="shared" si="1"/>
        <v>0</v>
      </c>
      <c r="T76" s="12">
        <f t="shared" si="2"/>
        <v>0</v>
      </c>
      <c r="U76" s="1"/>
      <c r="V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1">
        <f>SUM(LARGE(R77:T77,{1,2}))</f>
        <v>0</v>
      </c>
      <c r="Q77" s="1"/>
      <c r="R77" s="12">
        <f t="shared" si="0"/>
        <v>0</v>
      </c>
      <c r="S77" s="12">
        <f t="shared" si="1"/>
        <v>0</v>
      </c>
      <c r="T77" s="12">
        <f t="shared" si="2"/>
        <v>0</v>
      </c>
      <c r="U77" s="1"/>
      <c r="V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1">
        <f>SUM(LARGE(R78:T78,{1,2}))</f>
        <v>0</v>
      </c>
      <c r="Q78" s="1"/>
      <c r="R78" s="12">
        <f t="shared" si="0"/>
        <v>0</v>
      </c>
      <c r="S78" s="12">
        <f t="shared" si="1"/>
        <v>0</v>
      </c>
      <c r="T78" s="12">
        <f t="shared" si="2"/>
        <v>0</v>
      </c>
      <c r="U78" s="1"/>
      <c r="V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1">
        <f>SUM(LARGE(R79:T79,{1,2}))</f>
        <v>0</v>
      </c>
      <c r="Q79" s="1"/>
      <c r="R79" s="12">
        <f t="shared" si="0"/>
        <v>0</v>
      </c>
      <c r="S79" s="12">
        <f t="shared" si="1"/>
        <v>0</v>
      </c>
      <c r="T79" s="12">
        <f t="shared" si="2"/>
        <v>0</v>
      </c>
      <c r="U79" s="1"/>
      <c r="V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1">
        <f>SUM(LARGE(R80:T80,{1,2}))</f>
        <v>0</v>
      </c>
      <c r="Q80" s="1"/>
      <c r="R80" s="12">
        <f t="shared" si="0"/>
        <v>0</v>
      </c>
      <c r="S80" s="12">
        <f t="shared" si="1"/>
        <v>0</v>
      </c>
      <c r="T80" s="12">
        <f t="shared" si="2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1">
        <f>SUM(LARGE(R81:T81,{1,2}))</f>
        <v>0</v>
      </c>
      <c r="Q81" s="1"/>
      <c r="R81" s="12">
        <f t="shared" si="0"/>
        <v>0</v>
      </c>
      <c r="S81" s="12">
        <f t="shared" si="1"/>
        <v>0</v>
      </c>
      <c r="T81" s="12">
        <f t="shared" si="2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1">
        <f>SUM(LARGE(R82:T82,{1,2}))</f>
        <v>0</v>
      </c>
      <c r="Q82" s="1"/>
      <c r="R82" s="12">
        <f t="shared" si="0"/>
        <v>0</v>
      </c>
      <c r="S82" s="12">
        <f t="shared" si="1"/>
        <v>0</v>
      </c>
      <c r="T82" s="12">
        <f t="shared" si="2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1">
        <f>SUM(LARGE(R83:T83,{1,2}))</f>
        <v>0</v>
      </c>
      <c r="Q83" s="1"/>
      <c r="R83" s="12">
        <f t="shared" si="0"/>
        <v>0</v>
      </c>
      <c r="S83" s="12">
        <f t="shared" si="1"/>
        <v>0</v>
      </c>
      <c r="T83" s="12">
        <f t="shared" si="2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1">
        <f>SUM(LARGE(R84:T84,{1,2}))</f>
        <v>0</v>
      </c>
      <c r="Q84" s="1"/>
      <c r="R84" s="12">
        <f t="shared" si="0"/>
        <v>0</v>
      </c>
      <c r="S84" s="12">
        <f t="shared" si="1"/>
        <v>0</v>
      </c>
      <c r="T84" s="12">
        <f t="shared" si="2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1">
        <f>SUM(LARGE(R85:T85,{1,2}))</f>
        <v>0</v>
      </c>
      <c r="Q85" s="1"/>
      <c r="R85" s="12">
        <f t="shared" si="0"/>
        <v>0</v>
      </c>
      <c r="S85" s="12">
        <f t="shared" si="1"/>
        <v>0</v>
      </c>
      <c r="T85" s="12">
        <f t="shared" si="2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/>
    <row r="240" spans="1:2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73:C73"/>
    <mergeCell ref="D73:I73"/>
    <mergeCell ref="J73:M73"/>
    <mergeCell ref="B74:C74"/>
    <mergeCell ref="D74:I74"/>
    <mergeCell ref="J74:M74"/>
    <mergeCell ref="B7:B8"/>
    <mergeCell ref="C7:C8"/>
    <mergeCell ref="D7:F7"/>
    <mergeCell ref="G7:H7"/>
    <mergeCell ref="I7:J7"/>
    <mergeCell ref="K7:L7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W980"/>
  <sheetViews>
    <sheetView topLeftCell="A7" workbookViewId="0">
      <selection activeCell="W9" sqref="W9:W72"/>
    </sheetView>
  </sheetViews>
  <sheetFormatPr defaultColWidth="14.42578125" defaultRowHeight="15"/>
  <cols>
    <col min="1" max="1" width="0.85546875" style="2" customWidth="1"/>
    <col min="2" max="2" width="5.5703125" style="2" bestFit="1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16384" width="14.42578125" style="2"/>
  </cols>
  <sheetData>
    <row r="1" spans="1:23" ht="21" customHeight="1">
      <c r="A1" s="1"/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1"/>
      <c r="O1" s="1"/>
      <c r="P1" s="1"/>
      <c r="Q1" s="1"/>
      <c r="R1" s="1"/>
      <c r="S1" s="1"/>
      <c r="T1" s="1"/>
      <c r="U1" s="1"/>
      <c r="V1" s="1"/>
    </row>
    <row r="2" spans="1:23" ht="15.75" customHeight="1">
      <c r="A2" s="1"/>
      <c r="B2" s="37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1"/>
      <c r="O2" s="1"/>
      <c r="P2" s="1"/>
      <c r="Q2" s="1"/>
      <c r="R2" s="1"/>
      <c r="S2" s="1"/>
      <c r="T2" s="1"/>
      <c r="U2" s="1"/>
      <c r="V2" s="1"/>
    </row>
    <row r="3" spans="1:23">
      <c r="A3" s="1"/>
      <c r="B3" s="39" t="s">
        <v>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1"/>
      <c r="O3" s="1"/>
      <c r="P3" s="1"/>
      <c r="Q3" s="1"/>
      <c r="R3" s="1"/>
      <c r="S3" s="1"/>
      <c r="T3" s="1"/>
      <c r="U3" s="1"/>
      <c r="V3" s="1"/>
    </row>
    <row r="4" spans="1:23" ht="16.5" customHeight="1">
      <c r="A4" s="1"/>
      <c r="B4" s="40" t="s">
        <v>25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  <c r="N4" s="1"/>
      <c r="O4" s="1"/>
      <c r="P4" s="1"/>
      <c r="Q4" s="1"/>
      <c r="R4" s="1"/>
      <c r="S4" s="1"/>
      <c r="T4" s="1"/>
      <c r="U4" s="1"/>
      <c r="V4" s="1"/>
    </row>
    <row r="5" spans="1:23" ht="18.75">
      <c r="A5" s="1"/>
      <c r="B5" s="43" t="s">
        <v>24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  <c r="N5" s="1"/>
      <c r="O5" s="1"/>
      <c r="P5" s="1"/>
      <c r="Q5" s="1"/>
      <c r="R5" s="1"/>
      <c r="S5" s="1"/>
      <c r="T5" s="1"/>
      <c r="U5" s="1"/>
      <c r="V5" s="1"/>
    </row>
    <row r="6" spans="1:23" ht="22.5">
      <c r="A6" s="1"/>
      <c r="B6" s="31" t="s">
        <v>3</v>
      </c>
      <c r="C6" s="32"/>
      <c r="D6" s="31" t="s">
        <v>22</v>
      </c>
      <c r="E6" s="33"/>
      <c r="F6" s="33"/>
      <c r="G6" s="33"/>
      <c r="H6" s="33"/>
      <c r="I6" s="33"/>
      <c r="J6" s="33"/>
      <c r="K6" s="3" t="s">
        <v>4</v>
      </c>
      <c r="L6" s="34" t="s">
        <v>29</v>
      </c>
      <c r="M6" s="34"/>
      <c r="N6" s="1"/>
      <c r="O6" s="1"/>
      <c r="P6" s="1"/>
      <c r="Q6" s="1"/>
      <c r="R6" s="1"/>
      <c r="S6" s="1"/>
      <c r="T6" s="1"/>
      <c r="U6" s="1"/>
      <c r="V6" s="1"/>
    </row>
    <row r="7" spans="1:23">
      <c r="A7" s="1"/>
      <c r="B7" s="21" t="s">
        <v>5</v>
      </c>
      <c r="C7" s="28" t="s">
        <v>6</v>
      </c>
      <c r="D7" s="29" t="s">
        <v>7</v>
      </c>
      <c r="E7" s="30"/>
      <c r="F7" s="30"/>
      <c r="G7" s="29" t="s">
        <v>8</v>
      </c>
      <c r="H7" s="30"/>
      <c r="I7" s="29" t="s">
        <v>9</v>
      </c>
      <c r="J7" s="30"/>
      <c r="K7" s="29" t="s">
        <v>10</v>
      </c>
      <c r="L7" s="30"/>
      <c r="M7" s="20" t="s">
        <v>11</v>
      </c>
      <c r="N7" s="4" t="s">
        <v>12</v>
      </c>
      <c r="O7" s="1"/>
      <c r="P7" s="1"/>
      <c r="Q7" s="1"/>
      <c r="R7" s="1"/>
      <c r="S7" s="1"/>
      <c r="T7" s="1"/>
      <c r="U7" s="1"/>
      <c r="V7" s="1"/>
    </row>
    <row r="8" spans="1:23">
      <c r="A8" s="1"/>
      <c r="B8" s="21"/>
      <c r="C8" s="28"/>
      <c r="D8" s="5" t="s">
        <v>13</v>
      </c>
      <c r="E8" s="5" t="s">
        <v>14</v>
      </c>
      <c r="F8" s="5" t="s">
        <v>15</v>
      </c>
      <c r="G8" s="5" t="s">
        <v>13</v>
      </c>
      <c r="H8" s="5" t="s">
        <v>14</v>
      </c>
      <c r="I8" s="5" t="s">
        <v>13</v>
      </c>
      <c r="J8" s="5" t="s">
        <v>14</v>
      </c>
      <c r="K8" s="5" t="s">
        <v>13</v>
      </c>
      <c r="L8" s="5" t="s">
        <v>14</v>
      </c>
      <c r="M8" s="21"/>
      <c r="N8" s="4"/>
      <c r="O8" s="1"/>
      <c r="P8" s="1"/>
      <c r="Q8" s="1"/>
      <c r="R8" s="1"/>
      <c r="S8" s="1"/>
      <c r="T8" s="1"/>
      <c r="U8" s="1"/>
      <c r="V8" s="1"/>
    </row>
    <row r="9" spans="1:23" ht="21.95" customHeight="1">
      <c r="A9" s="1"/>
      <c r="B9" s="6">
        <v>1</v>
      </c>
      <c r="C9" s="18">
        <v>160923733121</v>
      </c>
      <c r="D9" s="19" t="s">
        <v>31</v>
      </c>
      <c r="E9" s="19" t="s">
        <v>31</v>
      </c>
      <c r="F9" s="19" t="s">
        <v>31</v>
      </c>
      <c r="G9" s="19" t="s">
        <v>31</v>
      </c>
      <c r="H9" s="19" t="s">
        <v>31</v>
      </c>
      <c r="I9" s="19" t="s">
        <v>31</v>
      </c>
      <c r="J9" s="19" t="s">
        <v>31</v>
      </c>
      <c r="K9" s="19" t="s">
        <v>31</v>
      </c>
      <c r="L9" s="19" t="s">
        <v>31</v>
      </c>
      <c r="M9" s="19" t="s">
        <v>31</v>
      </c>
      <c r="N9" s="10" t="str">
        <f t="shared" ref="N9:N38" si="0">IF(M9&lt;8,"F","P")</f>
        <v>P</v>
      </c>
      <c r="O9" s="1"/>
      <c r="P9" s="11">
        <f>SUM(LARGE(R9:T9,{1,2}))</f>
        <v>0</v>
      </c>
      <c r="Q9" s="1"/>
      <c r="R9" s="12">
        <f t="shared" ref="R9:R85" si="1">SUM(G9:H9)</f>
        <v>0</v>
      </c>
      <c r="S9" s="12">
        <f t="shared" ref="S9:S85" si="2">SUM(I9:J9)</f>
        <v>0</v>
      </c>
      <c r="T9" s="12">
        <f t="shared" ref="T9:T85" si="3">SUM(K9:L9)</f>
        <v>0</v>
      </c>
      <c r="U9" s="1"/>
      <c r="V9" s="1"/>
      <c r="W9" s="48" t="s">
        <v>33</v>
      </c>
    </row>
    <row r="10" spans="1:23" ht="21.95" customHeight="1">
      <c r="A10" s="1"/>
      <c r="B10" s="13">
        <v>2</v>
      </c>
      <c r="C10" s="18">
        <v>160923733122</v>
      </c>
      <c r="D10" s="7">
        <v>2</v>
      </c>
      <c r="E10" s="8"/>
      <c r="F10" s="8">
        <v>1</v>
      </c>
      <c r="G10" s="8">
        <v>7</v>
      </c>
      <c r="I10" s="8">
        <v>7</v>
      </c>
      <c r="J10" s="8"/>
      <c r="K10" s="8"/>
      <c r="L10" s="8"/>
      <c r="M10" s="9">
        <f t="shared" ref="M10:M17" si="4">SUM(D10:L10)</f>
        <v>17</v>
      </c>
      <c r="N10" s="10" t="str">
        <f t="shared" si="0"/>
        <v>P</v>
      </c>
      <c r="O10" s="1"/>
      <c r="P10" s="11">
        <f>SUM(LARGE(R10:T10,{1,2}))</f>
        <v>21</v>
      </c>
      <c r="Q10" s="1"/>
      <c r="R10" s="12">
        <f>SUM(G10:I10)</f>
        <v>14</v>
      </c>
      <c r="S10" s="12">
        <f>SUM(I10:J10)</f>
        <v>7</v>
      </c>
      <c r="T10" s="12">
        <f t="shared" si="3"/>
        <v>0</v>
      </c>
      <c r="U10" s="1"/>
      <c r="V10" s="1"/>
      <c r="W10" s="48" t="s">
        <v>34</v>
      </c>
    </row>
    <row r="11" spans="1:23" ht="21.95" customHeight="1">
      <c r="A11" s="1"/>
      <c r="B11" s="6">
        <v>3</v>
      </c>
      <c r="C11" s="18">
        <v>160923733123</v>
      </c>
      <c r="D11" s="7">
        <v>1</v>
      </c>
      <c r="E11" s="8"/>
      <c r="F11" s="8"/>
      <c r="G11" s="8"/>
      <c r="I11" s="8">
        <v>7</v>
      </c>
      <c r="J11" s="8"/>
      <c r="K11" s="8"/>
      <c r="L11" s="8"/>
      <c r="M11" s="9">
        <f t="shared" si="4"/>
        <v>8</v>
      </c>
      <c r="N11" s="10" t="str">
        <f t="shared" si="0"/>
        <v>P</v>
      </c>
      <c r="O11" s="1"/>
      <c r="P11" s="11">
        <f>SUM(LARGE(R11:T11,{1,2}))</f>
        <v>14</v>
      </c>
      <c r="Q11" s="1"/>
      <c r="R11" s="12">
        <f>SUM(G11:I11)</f>
        <v>7</v>
      </c>
      <c r="S11" s="12">
        <f>SUM(I11:J11)</f>
        <v>7</v>
      </c>
      <c r="T11" s="12">
        <f t="shared" si="3"/>
        <v>0</v>
      </c>
      <c r="U11" s="1"/>
      <c r="V11" s="1"/>
      <c r="W11" s="48" t="s">
        <v>35</v>
      </c>
    </row>
    <row r="12" spans="1:23" ht="21.95" customHeight="1">
      <c r="A12" s="1"/>
      <c r="B12" s="13">
        <v>4</v>
      </c>
      <c r="C12" s="18">
        <v>160923733124</v>
      </c>
      <c r="D12" s="7">
        <v>1</v>
      </c>
      <c r="E12" s="8"/>
      <c r="F12" s="8"/>
      <c r="G12" s="8"/>
      <c r="I12" s="8">
        <v>7</v>
      </c>
      <c r="J12" s="8"/>
      <c r="K12" s="8"/>
      <c r="L12" s="8"/>
      <c r="M12" s="9">
        <f t="shared" si="4"/>
        <v>8</v>
      </c>
      <c r="N12" s="10" t="str">
        <f t="shared" si="0"/>
        <v>P</v>
      </c>
      <c r="O12" s="1"/>
      <c r="P12" s="11">
        <f>SUM(LARGE(R12:T12,{1,2}))</f>
        <v>14</v>
      </c>
      <c r="Q12" s="1"/>
      <c r="R12" s="12">
        <f>SUM(G12:I12)</f>
        <v>7</v>
      </c>
      <c r="S12" s="12">
        <f>SUM(I12:J12)</f>
        <v>7</v>
      </c>
      <c r="T12" s="12">
        <f t="shared" si="3"/>
        <v>0</v>
      </c>
      <c r="U12" s="1"/>
      <c r="V12" s="1"/>
      <c r="W12" s="48" t="s">
        <v>36</v>
      </c>
    </row>
    <row r="13" spans="1:23" ht="21.95" customHeight="1">
      <c r="A13" s="1"/>
      <c r="B13" s="6">
        <v>5</v>
      </c>
      <c r="C13" s="18">
        <v>160923733125</v>
      </c>
      <c r="D13" s="7">
        <v>1</v>
      </c>
      <c r="E13" s="8"/>
      <c r="F13" s="8"/>
      <c r="G13" s="8"/>
      <c r="I13" s="8">
        <v>7</v>
      </c>
      <c r="J13" s="8"/>
      <c r="K13" s="8"/>
      <c r="L13" s="8"/>
      <c r="M13" s="9">
        <f t="shared" si="4"/>
        <v>8</v>
      </c>
      <c r="N13" s="10" t="str">
        <f t="shared" si="0"/>
        <v>P</v>
      </c>
      <c r="O13" s="1"/>
      <c r="P13" s="11">
        <f>SUM(LARGE(R13:T13,{1,2}))</f>
        <v>14</v>
      </c>
      <c r="Q13" s="1"/>
      <c r="R13" s="12">
        <f>SUM(G13:I13)</f>
        <v>7</v>
      </c>
      <c r="S13" s="12">
        <f>SUM(I13:J13)</f>
        <v>7</v>
      </c>
      <c r="T13" s="12">
        <f t="shared" si="3"/>
        <v>0</v>
      </c>
      <c r="U13" s="1"/>
      <c r="V13" s="1"/>
      <c r="W13" s="48" t="s">
        <v>37</v>
      </c>
    </row>
    <row r="14" spans="1:23" ht="21.95" customHeight="1">
      <c r="A14" s="1"/>
      <c r="B14" s="13">
        <v>6</v>
      </c>
      <c r="C14" s="18">
        <v>160923733126</v>
      </c>
      <c r="D14" s="7">
        <v>2</v>
      </c>
      <c r="E14" s="8">
        <v>1</v>
      </c>
      <c r="F14" s="8">
        <v>1</v>
      </c>
      <c r="G14" s="8">
        <v>7</v>
      </c>
      <c r="H14" s="8"/>
      <c r="I14" s="8">
        <v>7</v>
      </c>
      <c r="J14" s="8"/>
      <c r="K14" s="8"/>
      <c r="L14" s="8"/>
      <c r="M14" s="9">
        <f t="shared" si="4"/>
        <v>18</v>
      </c>
      <c r="N14" s="10" t="str">
        <f t="shared" si="0"/>
        <v>P</v>
      </c>
      <c r="O14" s="1"/>
      <c r="P14" s="11">
        <f>SUM(LARGE(R14:T14,{1,2}))</f>
        <v>14</v>
      </c>
      <c r="Q14" s="1"/>
      <c r="R14" s="12">
        <f t="shared" si="1"/>
        <v>7</v>
      </c>
      <c r="S14" s="12">
        <f t="shared" si="2"/>
        <v>7</v>
      </c>
      <c r="T14" s="12">
        <f t="shared" si="3"/>
        <v>0</v>
      </c>
      <c r="U14" s="1"/>
      <c r="V14" s="1"/>
      <c r="W14" s="48" t="s">
        <v>38</v>
      </c>
    </row>
    <row r="15" spans="1:23" ht="21.95" customHeight="1">
      <c r="A15" s="1"/>
      <c r="B15" s="6">
        <v>7</v>
      </c>
      <c r="C15" s="18">
        <v>160923733127</v>
      </c>
      <c r="D15" s="7"/>
      <c r="E15" s="8"/>
      <c r="F15" s="8"/>
      <c r="G15" s="8">
        <v>5</v>
      </c>
      <c r="H15" s="8"/>
      <c r="I15" s="8"/>
      <c r="J15" s="8"/>
      <c r="K15" s="8"/>
      <c r="L15" s="8"/>
      <c r="M15" s="9">
        <f t="shared" si="4"/>
        <v>5</v>
      </c>
      <c r="N15" s="10" t="str">
        <f t="shared" si="0"/>
        <v>F</v>
      </c>
      <c r="O15" s="1"/>
      <c r="P15" s="11">
        <f>SUM(LARGE(R15:T15,{1,2}))</f>
        <v>5</v>
      </c>
      <c r="Q15" s="1"/>
      <c r="R15" s="12">
        <f t="shared" si="1"/>
        <v>5</v>
      </c>
      <c r="S15" s="12">
        <f t="shared" si="2"/>
        <v>0</v>
      </c>
      <c r="T15" s="12">
        <f t="shared" si="3"/>
        <v>0</v>
      </c>
      <c r="U15" s="1"/>
      <c r="V15" s="1"/>
      <c r="W15" s="48" t="s">
        <v>39</v>
      </c>
    </row>
    <row r="16" spans="1:23" ht="21.95" customHeight="1">
      <c r="A16" s="1"/>
      <c r="B16" s="13">
        <v>8</v>
      </c>
      <c r="C16" s="18">
        <v>160923733129</v>
      </c>
      <c r="D16" s="7">
        <v>2</v>
      </c>
      <c r="E16" s="8">
        <v>1</v>
      </c>
      <c r="F16" s="8">
        <v>1</v>
      </c>
      <c r="G16" s="8"/>
      <c r="H16" s="8"/>
      <c r="I16" s="8">
        <v>7</v>
      </c>
      <c r="J16" s="8"/>
      <c r="K16" s="8">
        <v>7</v>
      </c>
      <c r="L16" s="8"/>
      <c r="M16" s="9">
        <f t="shared" si="4"/>
        <v>18</v>
      </c>
      <c r="N16" s="10" t="str">
        <f t="shared" si="0"/>
        <v>P</v>
      </c>
      <c r="O16" s="1"/>
      <c r="P16" s="11">
        <f>SUM(LARGE(R16:T16,{1,2}))</f>
        <v>14</v>
      </c>
      <c r="Q16" s="1"/>
      <c r="R16" s="12">
        <f t="shared" si="1"/>
        <v>0</v>
      </c>
      <c r="S16" s="12">
        <f t="shared" si="2"/>
        <v>7</v>
      </c>
      <c r="T16" s="12">
        <f t="shared" si="3"/>
        <v>7</v>
      </c>
      <c r="U16" s="1"/>
      <c r="V16" s="1"/>
      <c r="W16" s="48" t="s">
        <v>40</v>
      </c>
    </row>
    <row r="17" spans="1:23" ht="21.95" customHeight="1">
      <c r="A17" s="1"/>
      <c r="B17" s="6">
        <v>9</v>
      </c>
      <c r="C17" s="18">
        <v>160923733130</v>
      </c>
      <c r="D17" s="7">
        <v>2</v>
      </c>
      <c r="E17" s="8">
        <v>1</v>
      </c>
      <c r="F17" s="8">
        <v>2</v>
      </c>
      <c r="G17" s="8">
        <v>7</v>
      </c>
      <c r="H17" s="8"/>
      <c r="I17" s="8">
        <v>7</v>
      </c>
      <c r="J17" s="8"/>
      <c r="K17" s="8"/>
      <c r="L17" s="8"/>
      <c r="M17" s="9">
        <f t="shared" si="4"/>
        <v>19</v>
      </c>
      <c r="N17" s="10" t="str">
        <f t="shared" si="0"/>
        <v>P</v>
      </c>
      <c r="O17" s="1"/>
      <c r="P17" s="11">
        <f>SUM(LARGE(R17:T17,{1,2}))</f>
        <v>14</v>
      </c>
      <c r="Q17" s="1"/>
      <c r="R17" s="12">
        <f t="shared" si="1"/>
        <v>7</v>
      </c>
      <c r="S17" s="12">
        <f t="shared" si="2"/>
        <v>7</v>
      </c>
      <c r="T17" s="12">
        <f t="shared" si="3"/>
        <v>0</v>
      </c>
      <c r="U17" s="1"/>
      <c r="V17" s="1"/>
      <c r="W17" s="48" t="s">
        <v>41</v>
      </c>
    </row>
    <row r="18" spans="1:23" ht="21.95" customHeight="1">
      <c r="A18" s="1"/>
      <c r="B18" s="13">
        <v>10</v>
      </c>
      <c r="C18" s="18">
        <v>160923733131</v>
      </c>
      <c r="D18" s="19" t="s">
        <v>31</v>
      </c>
      <c r="E18" s="19" t="s">
        <v>31</v>
      </c>
      <c r="F18" s="19" t="s">
        <v>31</v>
      </c>
      <c r="G18" s="19" t="s">
        <v>31</v>
      </c>
      <c r="H18" s="19" t="s">
        <v>31</v>
      </c>
      <c r="I18" s="19" t="s">
        <v>31</v>
      </c>
      <c r="J18" s="19" t="s">
        <v>31</v>
      </c>
      <c r="K18" s="19" t="s">
        <v>31</v>
      </c>
      <c r="L18" s="19" t="s">
        <v>31</v>
      </c>
      <c r="M18" s="19" t="s">
        <v>31</v>
      </c>
      <c r="N18" s="10" t="str">
        <f t="shared" si="0"/>
        <v>P</v>
      </c>
      <c r="O18" s="1"/>
      <c r="P18" s="11">
        <f>SUM(LARGE(R18:T18,{1,2}))</f>
        <v>0</v>
      </c>
      <c r="Q18" s="1"/>
      <c r="R18" s="12">
        <f t="shared" si="1"/>
        <v>0</v>
      </c>
      <c r="S18" s="12">
        <f t="shared" si="2"/>
        <v>0</v>
      </c>
      <c r="T18" s="12">
        <f t="shared" si="3"/>
        <v>0</v>
      </c>
      <c r="U18" s="1"/>
      <c r="V18" s="1"/>
      <c r="W18" s="48" t="s">
        <v>42</v>
      </c>
    </row>
    <row r="19" spans="1:23" ht="21.95" customHeight="1">
      <c r="A19" s="1"/>
      <c r="B19" s="6">
        <v>11</v>
      </c>
      <c r="C19" s="18">
        <v>160923733132</v>
      </c>
      <c r="D19" s="7"/>
      <c r="E19" s="8"/>
      <c r="F19" s="8"/>
      <c r="G19" s="8">
        <v>7</v>
      </c>
      <c r="H19" s="8"/>
      <c r="I19" s="8">
        <v>7</v>
      </c>
      <c r="J19" s="8"/>
      <c r="K19" s="8"/>
      <c r="L19" s="8"/>
      <c r="M19" s="9">
        <f t="shared" ref="M19:M32" si="5">SUM(D19:L19)</f>
        <v>14</v>
      </c>
      <c r="N19" s="10" t="str">
        <f t="shared" si="0"/>
        <v>P</v>
      </c>
      <c r="O19" s="1"/>
      <c r="P19" s="11">
        <f>SUM(LARGE(R19:T19,{1,2}))</f>
        <v>14</v>
      </c>
      <c r="Q19" s="1"/>
      <c r="R19" s="12">
        <f t="shared" si="1"/>
        <v>7</v>
      </c>
      <c r="S19" s="12">
        <f t="shared" si="2"/>
        <v>7</v>
      </c>
      <c r="T19" s="12">
        <f t="shared" si="3"/>
        <v>0</v>
      </c>
      <c r="U19" s="1"/>
      <c r="V19" s="1"/>
      <c r="W19" s="48" t="s">
        <v>43</v>
      </c>
    </row>
    <row r="20" spans="1:23" ht="21.95" customHeight="1">
      <c r="A20" s="1"/>
      <c r="B20" s="13">
        <v>12</v>
      </c>
      <c r="C20" s="18">
        <v>160923733133</v>
      </c>
      <c r="D20" s="7">
        <v>1</v>
      </c>
      <c r="E20" s="8"/>
      <c r="F20" s="8"/>
      <c r="G20" s="8">
        <v>7</v>
      </c>
      <c r="H20" s="8"/>
      <c r="I20" s="8">
        <v>7</v>
      </c>
      <c r="J20" s="8"/>
      <c r="K20" s="8"/>
      <c r="L20" s="8"/>
      <c r="M20" s="9">
        <f t="shared" si="5"/>
        <v>15</v>
      </c>
      <c r="N20" s="10" t="str">
        <f t="shared" si="0"/>
        <v>P</v>
      </c>
      <c r="O20" s="1"/>
      <c r="P20" s="11">
        <f>SUM(LARGE(R20:T20,{1,2}))</f>
        <v>14</v>
      </c>
      <c r="Q20" s="1"/>
      <c r="R20" s="12">
        <f t="shared" si="1"/>
        <v>7</v>
      </c>
      <c r="S20" s="12">
        <f t="shared" si="2"/>
        <v>7</v>
      </c>
      <c r="T20" s="12">
        <f t="shared" si="3"/>
        <v>0</v>
      </c>
      <c r="U20" s="1"/>
      <c r="V20" s="1"/>
      <c r="W20" s="48" t="s">
        <v>44</v>
      </c>
    </row>
    <row r="21" spans="1:23" ht="21.95" customHeight="1">
      <c r="A21" s="1"/>
      <c r="B21" s="6">
        <v>13</v>
      </c>
      <c r="C21" s="18">
        <v>160923733134</v>
      </c>
      <c r="D21" s="7">
        <v>1</v>
      </c>
      <c r="E21" s="8">
        <v>1</v>
      </c>
      <c r="F21" s="8">
        <v>1</v>
      </c>
      <c r="G21" s="8"/>
      <c r="H21" s="8"/>
      <c r="I21" s="8"/>
      <c r="J21" s="8"/>
      <c r="K21" s="8"/>
      <c r="L21" s="8"/>
      <c r="M21" s="9">
        <f t="shared" si="5"/>
        <v>3</v>
      </c>
      <c r="N21" s="10" t="str">
        <f t="shared" si="0"/>
        <v>F</v>
      </c>
      <c r="O21" s="1"/>
      <c r="P21" s="11">
        <f>SUM(LARGE(R21:T21,{1,2}))</f>
        <v>0</v>
      </c>
      <c r="Q21" s="1"/>
      <c r="R21" s="12">
        <f t="shared" si="1"/>
        <v>0</v>
      </c>
      <c r="S21" s="12">
        <f t="shared" si="2"/>
        <v>0</v>
      </c>
      <c r="T21" s="12">
        <f t="shared" si="3"/>
        <v>0</v>
      </c>
      <c r="U21" s="1"/>
      <c r="V21" s="1"/>
      <c r="W21" s="48" t="s">
        <v>45</v>
      </c>
    </row>
    <row r="22" spans="1:23" ht="21.95" customHeight="1">
      <c r="A22" s="1"/>
      <c r="B22" s="13">
        <v>14</v>
      </c>
      <c r="C22" s="18">
        <v>160923733135</v>
      </c>
      <c r="D22" s="7"/>
      <c r="E22" s="8"/>
      <c r="F22" s="8"/>
      <c r="G22" s="8"/>
      <c r="H22" s="8"/>
      <c r="I22" s="8">
        <v>7</v>
      </c>
      <c r="J22" s="8"/>
      <c r="K22" s="8">
        <v>4</v>
      </c>
      <c r="L22" s="8"/>
      <c r="M22" s="9">
        <f t="shared" si="5"/>
        <v>11</v>
      </c>
      <c r="N22" s="10" t="str">
        <f t="shared" si="0"/>
        <v>P</v>
      </c>
      <c r="O22" s="1"/>
      <c r="P22" s="11">
        <f>SUM(LARGE(R22:T22,{1,2}))</f>
        <v>11</v>
      </c>
      <c r="Q22" s="1"/>
      <c r="R22" s="12">
        <f t="shared" si="1"/>
        <v>0</v>
      </c>
      <c r="S22" s="12">
        <f t="shared" si="2"/>
        <v>7</v>
      </c>
      <c r="T22" s="12">
        <f t="shared" si="3"/>
        <v>4</v>
      </c>
      <c r="U22" s="1"/>
      <c r="V22" s="1"/>
      <c r="W22" s="48" t="s">
        <v>46</v>
      </c>
    </row>
    <row r="23" spans="1:23" ht="21.95" customHeight="1">
      <c r="A23" s="1"/>
      <c r="B23" s="6">
        <v>15</v>
      </c>
      <c r="C23" s="18">
        <v>160923733136</v>
      </c>
      <c r="D23" s="7"/>
      <c r="E23" s="8"/>
      <c r="F23" s="8"/>
      <c r="G23" s="8"/>
      <c r="H23" s="8"/>
      <c r="I23" s="8">
        <v>7</v>
      </c>
      <c r="J23" s="8"/>
      <c r="K23" s="8"/>
      <c r="L23" s="8"/>
      <c r="M23" s="9">
        <f t="shared" si="5"/>
        <v>7</v>
      </c>
      <c r="N23" s="10" t="str">
        <f t="shared" si="0"/>
        <v>F</v>
      </c>
      <c r="O23" s="1"/>
      <c r="P23" s="11">
        <f>SUM(LARGE(R23:T23,{1,2}))</f>
        <v>7</v>
      </c>
      <c r="Q23" s="1"/>
      <c r="R23" s="12">
        <f t="shared" si="1"/>
        <v>0</v>
      </c>
      <c r="S23" s="12">
        <f t="shared" si="2"/>
        <v>7</v>
      </c>
      <c r="T23" s="12">
        <f t="shared" si="3"/>
        <v>0</v>
      </c>
      <c r="U23" s="1"/>
      <c r="V23" s="1"/>
      <c r="W23" s="48" t="s">
        <v>47</v>
      </c>
    </row>
    <row r="24" spans="1:23" ht="21.95" customHeight="1">
      <c r="A24" s="1"/>
      <c r="B24" s="13">
        <v>16</v>
      </c>
      <c r="C24" s="18">
        <v>160923733137</v>
      </c>
      <c r="D24" s="7">
        <v>1</v>
      </c>
      <c r="E24" s="8"/>
      <c r="F24" s="8"/>
      <c r="G24" s="8"/>
      <c r="H24" s="8"/>
      <c r="I24" s="8">
        <v>7</v>
      </c>
      <c r="J24" s="8"/>
      <c r="K24" s="8"/>
      <c r="L24" s="8"/>
      <c r="M24" s="9">
        <f t="shared" si="5"/>
        <v>8</v>
      </c>
      <c r="N24" s="10" t="str">
        <f t="shared" si="0"/>
        <v>P</v>
      </c>
      <c r="O24" s="1"/>
      <c r="P24" s="11">
        <f>SUM(LARGE(R24:T24,{1,2}))</f>
        <v>7</v>
      </c>
      <c r="Q24" s="1"/>
      <c r="R24" s="12">
        <f t="shared" si="1"/>
        <v>0</v>
      </c>
      <c r="S24" s="12">
        <f t="shared" si="2"/>
        <v>7</v>
      </c>
      <c r="T24" s="12">
        <f t="shared" si="3"/>
        <v>0</v>
      </c>
      <c r="U24" s="1"/>
      <c r="V24" s="1"/>
      <c r="W24" s="48" t="s">
        <v>48</v>
      </c>
    </row>
    <row r="25" spans="1:23" ht="21.95" customHeight="1">
      <c r="A25" s="1"/>
      <c r="B25" s="6">
        <v>17</v>
      </c>
      <c r="C25" s="18">
        <v>160923733138</v>
      </c>
      <c r="D25" s="7">
        <v>2</v>
      </c>
      <c r="E25" s="8"/>
      <c r="F25" s="8"/>
      <c r="G25" s="8">
        <v>7</v>
      </c>
      <c r="H25" s="8"/>
      <c r="I25" s="8">
        <v>7</v>
      </c>
      <c r="J25" s="8"/>
      <c r="K25" s="8"/>
      <c r="L25" s="8"/>
      <c r="M25" s="9">
        <f t="shared" si="5"/>
        <v>16</v>
      </c>
      <c r="N25" s="10" t="str">
        <f t="shared" si="0"/>
        <v>P</v>
      </c>
      <c r="O25" s="1"/>
      <c r="P25" s="11">
        <f>SUM(LARGE(R25:T25,{1,2}))</f>
        <v>14</v>
      </c>
      <c r="Q25" s="1"/>
      <c r="R25" s="12">
        <f t="shared" si="1"/>
        <v>7</v>
      </c>
      <c r="S25" s="12">
        <f t="shared" si="2"/>
        <v>7</v>
      </c>
      <c r="T25" s="12">
        <f t="shared" si="3"/>
        <v>0</v>
      </c>
      <c r="U25" s="1"/>
      <c r="V25" s="1"/>
      <c r="W25" s="48" t="s">
        <v>49</v>
      </c>
    </row>
    <row r="26" spans="1:23" ht="21.95" customHeight="1">
      <c r="A26" s="1"/>
      <c r="B26" s="13">
        <v>18</v>
      </c>
      <c r="C26" s="18">
        <v>160923733139</v>
      </c>
      <c r="D26" s="7">
        <v>2</v>
      </c>
      <c r="E26" s="8">
        <v>2</v>
      </c>
      <c r="F26" s="8">
        <v>2</v>
      </c>
      <c r="G26" s="8">
        <v>7</v>
      </c>
      <c r="H26" s="8"/>
      <c r="I26" s="8">
        <v>7</v>
      </c>
      <c r="J26" s="8"/>
      <c r="K26" s="8"/>
      <c r="L26" s="8"/>
      <c r="M26" s="9">
        <f t="shared" si="5"/>
        <v>20</v>
      </c>
      <c r="N26" s="10" t="str">
        <f t="shared" si="0"/>
        <v>P</v>
      </c>
      <c r="O26" s="1"/>
      <c r="P26" s="11">
        <f>SUM(LARGE(R26:T26,{1,2}))</f>
        <v>14</v>
      </c>
      <c r="Q26" s="1"/>
      <c r="R26" s="12">
        <f t="shared" si="1"/>
        <v>7</v>
      </c>
      <c r="S26" s="12">
        <f t="shared" si="2"/>
        <v>7</v>
      </c>
      <c r="T26" s="12">
        <f t="shared" si="3"/>
        <v>0</v>
      </c>
      <c r="U26" s="1"/>
      <c r="V26" s="1"/>
      <c r="W26" s="48" t="s">
        <v>50</v>
      </c>
    </row>
    <row r="27" spans="1:23" ht="21.95" customHeight="1">
      <c r="A27" s="1"/>
      <c r="B27" s="6">
        <v>19</v>
      </c>
      <c r="C27" s="18">
        <v>160923733140</v>
      </c>
      <c r="D27" s="7">
        <v>2</v>
      </c>
      <c r="E27" s="8"/>
      <c r="F27" s="8"/>
      <c r="G27" s="8"/>
      <c r="H27" s="8"/>
      <c r="I27" s="8"/>
      <c r="J27" s="8"/>
      <c r="K27" s="8"/>
      <c r="L27" s="8"/>
      <c r="M27" s="9">
        <f t="shared" si="5"/>
        <v>2</v>
      </c>
      <c r="N27" s="10" t="str">
        <f t="shared" si="0"/>
        <v>F</v>
      </c>
      <c r="O27" s="1"/>
      <c r="P27" s="11">
        <f>SUM(LARGE(R27:T27,{1,2}))</f>
        <v>0</v>
      </c>
      <c r="Q27" s="1"/>
      <c r="R27" s="12">
        <f t="shared" si="1"/>
        <v>0</v>
      </c>
      <c r="S27" s="12">
        <f t="shared" si="2"/>
        <v>0</v>
      </c>
      <c r="T27" s="12">
        <f t="shared" si="3"/>
        <v>0</v>
      </c>
      <c r="U27" s="1"/>
      <c r="V27" s="1"/>
      <c r="W27" s="48" t="s">
        <v>51</v>
      </c>
    </row>
    <row r="28" spans="1:23" ht="21.95" customHeight="1">
      <c r="A28" s="1"/>
      <c r="B28" s="13">
        <v>20</v>
      </c>
      <c r="C28" s="18">
        <v>160923733141</v>
      </c>
      <c r="D28" s="7">
        <v>1</v>
      </c>
      <c r="E28" s="8"/>
      <c r="F28" s="8">
        <v>1</v>
      </c>
      <c r="G28" s="8"/>
      <c r="H28" s="8"/>
      <c r="I28" s="8">
        <v>7</v>
      </c>
      <c r="J28" s="8"/>
      <c r="K28" s="8"/>
      <c r="L28" s="8"/>
      <c r="M28" s="9">
        <f t="shared" si="5"/>
        <v>9</v>
      </c>
      <c r="N28" s="10" t="str">
        <f t="shared" si="0"/>
        <v>P</v>
      </c>
      <c r="O28" s="1"/>
      <c r="P28" s="11">
        <f>SUM(LARGE(R28:T28,{1,2}))</f>
        <v>7</v>
      </c>
      <c r="Q28" s="1"/>
      <c r="R28" s="12">
        <f t="shared" si="1"/>
        <v>0</v>
      </c>
      <c r="S28" s="12">
        <f t="shared" si="2"/>
        <v>7</v>
      </c>
      <c r="T28" s="12">
        <f t="shared" si="3"/>
        <v>0</v>
      </c>
      <c r="U28" s="1"/>
      <c r="V28" s="1"/>
      <c r="W28" s="48" t="s">
        <v>52</v>
      </c>
    </row>
    <row r="29" spans="1:23" ht="21.95" customHeight="1">
      <c r="A29" s="1"/>
      <c r="B29" s="6">
        <v>21</v>
      </c>
      <c r="C29" s="18">
        <v>160923733142</v>
      </c>
      <c r="D29" s="7"/>
      <c r="E29" s="8"/>
      <c r="F29" s="8"/>
      <c r="G29" s="8"/>
      <c r="H29" s="8">
        <v>4</v>
      </c>
      <c r="I29" s="8">
        <v>7</v>
      </c>
      <c r="J29" s="8"/>
      <c r="K29" s="8"/>
      <c r="L29" s="8"/>
      <c r="M29" s="9">
        <f t="shared" si="5"/>
        <v>11</v>
      </c>
      <c r="N29" s="10" t="str">
        <f t="shared" si="0"/>
        <v>P</v>
      </c>
      <c r="O29" s="1"/>
      <c r="P29" s="11">
        <f>SUM(LARGE(R29:T29,{1,2}))</f>
        <v>11</v>
      </c>
      <c r="Q29" s="1"/>
      <c r="R29" s="12">
        <f t="shared" si="1"/>
        <v>4</v>
      </c>
      <c r="S29" s="12">
        <f t="shared" si="2"/>
        <v>7</v>
      </c>
      <c r="T29" s="12">
        <f t="shared" si="3"/>
        <v>0</v>
      </c>
      <c r="U29" s="1"/>
      <c r="V29" s="1"/>
      <c r="W29" s="48" t="s">
        <v>53</v>
      </c>
    </row>
    <row r="30" spans="1:23" ht="21.95" customHeight="1">
      <c r="A30" s="1"/>
      <c r="B30" s="13">
        <v>22</v>
      </c>
      <c r="C30" s="18">
        <v>160923733143</v>
      </c>
      <c r="D30" s="7"/>
      <c r="E30" s="8"/>
      <c r="F30" s="8"/>
      <c r="G30" s="8"/>
      <c r="H30" s="8"/>
      <c r="I30" s="8">
        <v>7</v>
      </c>
      <c r="J30" s="8"/>
      <c r="K30" s="8"/>
      <c r="L30" s="8"/>
      <c r="M30" s="9">
        <f t="shared" si="5"/>
        <v>7</v>
      </c>
      <c r="N30" s="10" t="str">
        <f t="shared" si="0"/>
        <v>F</v>
      </c>
      <c r="O30" s="1"/>
      <c r="P30" s="11">
        <f>SUM(LARGE(R30:T30,{1,2}))</f>
        <v>7</v>
      </c>
      <c r="Q30" s="1"/>
      <c r="R30" s="12">
        <f t="shared" si="1"/>
        <v>0</v>
      </c>
      <c r="S30" s="12">
        <f t="shared" si="2"/>
        <v>7</v>
      </c>
      <c r="T30" s="12">
        <f t="shared" si="3"/>
        <v>0</v>
      </c>
      <c r="U30" s="1"/>
      <c r="V30" s="1"/>
      <c r="W30" s="48" t="s">
        <v>54</v>
      </c>
    </row>
    <row r="31" spans="1:23" ht="21.95" customHeight="1">
      <c r="A31" s="1"/>
      <c r="B31" s="6">
        <v>23</v>
      </c>
      <c r="C31" s="18">
        <v>160923733144</v>
      </c>
      <c r="D31" s="7">
        <v>1</v>
      </c>
      <c r="E31" s="8">
        <v>2</v>
      </c>
      <c r="F31" s="8"/>
      <c r="G31" s="8"/>
      <c r="H31" s="8"/>
      <c r="I31" s="8">
        <v>7</v>
      </c>
      <c r="J31" s="8"/>
      <c r="K31" s="8"/>
      <c r="L31" s="8"/>
      <c r="M31" s="9">
        <f t="shared" si="5"/>
        <v>10</v>
      </c>
      <c r="N31" s="10" t="str">
        <f t="shared" si="0"/>
        <v>P</v>
      </c>
      <c r="O31" s="1"/>
      <c r="P31" s="11">
        <f>SUM(LARGE(R31:T31,{1,2}))</f>
        <v>7</v>
      </c>
      <c r="Q31" s="1"/>
      <c r="R31" s="12">
        <f t="shared" si="1"/>
        <v>0</v>
      </c>
      <c r="S31" s="12">
        <f t="shared" si="2"/>
        <v>7</v>
      </c>
      <c r="T31" s="12">
        <f t="shared" si="3"/>
        <v>0</v>
      </c>
      <c r="U31" s="1"/>
      <c r="V31" s="1"/>
      <c r="W31" s="48" t="s">
        <v>55</v>
      </c>
    </row>
    <row r="32" spans="1:23" ht="21.95" customHeight="1">
      <c r="A32" s="1"/>
      <c r="B32" s="13">
        <v>24</v>
      </c>
      <c r="C32" s="18">
        <v>160923733145</v>
      </c>
      <c r="D32" s="7">
        <v>2</v>
      </c>
      <c r="E32" s="8"/>
      <c r="F32" s="8">
        <v>2</v>
      </c>
      <c r="G32" s="8">
        <v>7</v>
      </c>
      <c r="H32" s="8"/>
      <c r="I32" s="8">
        <v>7</v>
      </c>
      <c r="J32" s="8"/>
      <c r="K32" s="8"/>
      <c r="L32" s="8"/>
      <c r="M32" s="9">
        <f t="shared" si="5"/>
        <v>18</v>
      </c>
      <c r="N32" s="10" t="str">
        <f t="shared" si="0"/>
        <v>P</v>
      </c>
      <c r="O32" s="1"/>
      <c r="P32" s="11">
        <f>SUM(LARGE(R32:T32,{1,2}))</f>
        <v>14</v>
      </c>
      <c r="Q32" s="1"/>
      <c r="R32" s="12">
        <f t="shared" si="1"/>
        <v>7</v>
      </c>
      <c r="S32" s="12">
        <f t="shared" si="2"/>
        <v>7</v>
      </c>
      <c r="T32" s="12">
        <f t="shared" si="3"/>
        <v>0</v>
      </c>
      <c r="U32" s="1"/>
      <c r="V32" s="1"/>
      <c r="W32" s="48" t="s">
        <v>56</v>
      </c>
    </row>
    <row r="33" spans="1:23" ht="21.95" customHeight="1">
      <c r="A33" s="1"/>
      <c r="B33" s="6">
        <v>25</v>
      </c>
      <c r="C33" s="18">
        <v>160923733146</v>
      </c>
      <c r="D33" s="19" t="s">
        <v>31</v>
      </c>
      <c r="E33" s="19" t="s">
        <v>31</v>
      </c>
      <c r="F33" s="19" t="s">
        <v>31</v>
      </c>
      <c r="G33" s="19" t="s">
        <v>31</v>
      </c>
      <c r="H33" s="19" t="s">
        <v>31</v>
      </c>
      <c r="I33" s="19" t="s">
        <v>31</v>
      </c>
      <c r="J33" s="19" t="s">
        <v>31</v>
      </c>
      <c r="K33" s="19" t="s">
        <v>31</v>
      </c>
      <c r="L33" s="19" t="s">
        <v>31</v>
      </c>
      <c r="M33" s="19" t="s">
        <v>31</v>
      </c>
      <c r="N33" s="10" t="str">
        <f t="shared" si="0"/>
        <v>P</v>
      </c>
      <c r="O33" s="1"/>
      <c r="P33" s="11">
        <f>SUM(LARGE(R33:T33,{1,2}))</f>
        <v>0</v>
      </c>
      <c r="Q33" s="1"/>
      <c r="R33" s="12">
        <f t="shared" si="1"/>
        <v>0</v>
      </c>
      <c r="S33" s="12">
        <f t="shared" si="2"/>
        <v>0</v>
      </c>
      <c r="T33" s="12">
        <f t="shared" si="3"/>
        <v>0</v>
      </c>
      <c r="U33" s="1"/>
      <c r="V33" s="1"/>
      <c r="W33" s="48" t="s">
        <v>57</v>
      </c>
    </row>
    <row r="34" spans="1:23" ht="21.95" customHeight="1">
      <c r="A34" s="1"/>
      <c r="B34" s="13">
        <v>26</v>
      </c>
      <c r="C34" s="18">
        <v>160923733147</v>
      </c>
      <c r="D34" s="7"/>
      <c r="E34" s="8"/>
      <c r="F34" s="8"/>
      <c r="G34" s="8"/>
      <c r="H34" s="8"/>
      <c r="I34" s="8">
        <v>7</v>
      </c>
      <c r="J34" s="8"/>
      <c r="K34" s="8"/>
      <c r="L34" s="8"/>
      <c r="M34" s="9">
        <f t="shared" ref="M34:M55" si="6">SUM(D34:L34)</f>
        <v>7</v>
      </c>
      <c r="N34" s="10" t="str">
        <f t="shared" si="0"/>
        <v>F</v>
      </c>
      <c r="O34" s="1"/>
      <c r="P34" s="11">
        <f>SUM(LARGE(R34:T34,{1,2}))</f>
        <v>7</v>
      </c>
      <c r="Q34" s="1"/>
      <c r="R34" s="12">
        <f t="shared" si="1"/>
        <v>0</v>
      </c>
      <c r="S34" s="12">
        <f t="shared" si="2"/>
        <v>7</v>
      </c>
      <c r="T34" s="12">
        <f t="shared" si="3"/>
        <v>0</v>
      </c>
      <c r="U34" s="1"/>
      <c r="V34" s="1"/>
      <c r="W34" s="48" t="s">
        <v>58</v>
      </c>
    </row>
    <row r="35" spans="1:23" ht="21.95" customHeight="1">
      <c r="A35" s="1"/>
      <c r="B35" s="6">
        <v>27</v>
      </c>
      <c r="C35" s="18">
        <v>160923733148</v>
      </c>
      <c r="D35" s="7"/>
      <c r="E35" s="8"/>
      <c r="F35" s="8"/>
      <c r="G35" s="8"/>
      <c r="H35" s="8"/>
      <c r="I35" s="8"/>
      <c r="J35" s="8"/>
      <c r="K35" s="8"/>
      <c r="L35" s="8"/>
      <c r="M35" s="9">
        <f t="shared" si="6"/>
        <v>0</v>
      </c>
      <c r="N35" s="10" t="str">
        <f t="shared" si="0"/>
        <v>F</v>
      </c>
      <c r="O35" s="1"/>
      <c r="P35" s="11">
        <f>SUM(LARGE(R35:T35,{1,2}))</f>
        <v>0</v>
      </c>
      <c r="Q35" s="1"/>
      <c r="R35" s="12">
        <f t="shared" si="1"/>
        <v>0</v>
      </c>
      <c r="S35" s="12">
        <f t="shared" si="2"/>
        <v>0</v>
      </c>
      <c r="T35" s="12">
        <f t="shared" si="3"/>
        <v>0</v>
      </c>
      <c r="U35" s="1"/>
      <c r="V35" s="1"/>
      <c r="W35" s="48" t="s">
        <v>59</v>
      </c>
    </row>
    <row r="36" spans="1:23" ht="21.95" customHeight="1">
      <c r="A36" s="1"/>
      <c r="B36" s="13">
        <v>28</v>
      </c>
      <c r="C36" s="18">
        <v>160923733149</v>
      </c>
      <c r="D36" s="7"/>
      <c r="E36" s="8"/>
      <c r="F36" s="8"/>
      <c r="G36" s="8"/>
      <c r="H36" s="8"/>
      <c r="I36" s="8"/>
      <c r="J36" s="8"/>
      <c r="K36" s="8">
        <v>4</v>
      </c>
      <c r="L36" s="8"/>
      <c r="M36" s="9">
        <f t="shared" si="6"/>
        <v>4</v>
      </c>
      <c r="N36" s="10" t="str">
        <f t="shared" si="0"/>
        <v>F</v>
      </c>
      <c r="O36" s="1"/>
      <c r="P36" s="11">
        <f>SUM(LARGE(R36:T36,{1,2}))</f>
        <v>4</v>
      </c>
      <c r="Q36" s="1"/>
      <c r="R36" s="12">
        <f t="shared" si="1"/>
        <v>0</v>
      </c>
      <c r="S36" s="12">
        <f t="shared" si="2"/>
        <v>0</v>
      </c>
      <c r="T36" s="12">
        <f t="shared" si="3"/>
        <v>4</v>
      </c>
      <c r="U36" s="1"/>
      <c r="V36" s="1"/>
      <c r="W36" s="48" t="s">
        <v>60</v>
      </c>
    </row>
    <row r="37" spans="1:23" ht="21.95" customHeight="1">
      <c r="A37" s="1"/>
      <c r="B37" s="6">
        <v>29</v>
      </c>
      <c r="C37" s="18">
        <v>160923733150</v>
      </c>
      <c r="D37" s="14">
        <v>1</v>
      </c>
      <c r="E37" s="15"/>
      <c r="F37" s="15"/>
      <c r="G37" s="15"/>
      <c r="H37" s="15"/>
      <c r="I37" s="15"/>
      <c r="J37" s="15"/>
      <c r="K37" s="15"/>
      <c r="L37" s="15"/>
      <c r="M37" s="9">
        <f t="shared" si="6"/>
        <v>1</v>
      </c>
      <c r="N37" s="10" t="str">
        <f t="shared" si="0"/>
        <v>F</v>
      </c>
      <c r="O37" s="1"/>
      <c r="P37" s="11">
        <f>SUM(LARGE(R37:T37,{1,2}))</f>
        <v>0</v>
      </c>
      <c r="Q37" s="1"/>
      <c r="R37" s="12">
        <f t="shared" si="1"/>
        <v>0</v>
      </c>
      <c r="S37" s="12">
        <f t="shared" si="2"/>
        <v>0</v>
      </c>
      <c r="T37" s="12">
        <f t="shared" si="3"/>
        <v>0</v>
      </c>
      <c r="U37" s="1"/>
      <c r="V37" s="1"/>
      <c r="W37" s="48" t="s">
        <v>61</v>
      </c>
    </row>
    <row r="38" spans="1:23" ht="21.95" customHeight="1">
      <c r="A38" s="1"/>
      <c r="B38" s="13">
        <v>30</v>
      </c>
      <c r="C38" s="18">
        <v>160923733151</v>
      </c>
      <c r="D38" s="8">
        <v>1</v>
      </c>
      <c r="E38" s="8"/>
      <c r="F38" s="8"/>
      <c r="G38" s="8"/>
      <c r="H38" s="8"/>
      <c r="I38" s="8"/>
      <c r="J38" s="8">
        <v>7</v>
      </c>
      <c r="K38" s="8"/>
      <c r="L38" s="8"/>
      <c r="M38" s="9">
        <f t="shared" si="6"/>
        <v>8</v>
      </c>
      <c r="N38" s="17" t="str">
        <f t="shared" si="0"/>
        <v>P</v>
      </c>
      <c r="O38" s="1"/>
      <c r="P38" s="11">
        <f>SUM(LARGE(R38:T38,{1,2}))</f>
        <v>7</v>
      </c>
      <c r="Q38" s="1"/>
      <c r="R38" s="12">
        <f t="shared" si="1"/>
        <v>0</v>
      </c>
      <c r="S38" s="12">
        <f t="shared" si="2"/>
        <v>7</v>
      </c>
      <c r="T38" s="12">
        <f t="shared" si="3"/>
        <v>0</v>
      </c>
      <c r="U38" s="1"/>
      <c r="V38" s="1"/>
      <c r="W38" s="48" t="s">
        <v>62</v>
      </c>
    </row>
    <row r="39" spans="1:23" ht="21.95" customHeight="1">
      <c r="A39" s="1"/>
      <c r="B39" s="6">
        <v>31</v>
      </c>
      <c r="C39" s="18">
        <v>160923733152</v>
      </c>
      <c r="D39" s="10">
        <v>1</v>
      </c>
      <c r="E39" s="10"/>
      <c r="F39" s="10"/>
      <c r="G39" s="10"/>
      <c r="H39" s="10"/>
      <c r="I39" s="10"/>
      <c r="J39" s="10"/>
      <c r="K39" s="10">
        <v>4</v>
      </c>
      <c r="L39" s="10"/>
      <c r="M39" s="9">
        <f t="shared" si="6"/>
        <v>5</v>
      </c>
      <c r="N39" s="1"/>
      <c r="O39" s="1"/>
      <c r="P39" s="11">
        <f>SUM(LARGE(R39:T39,{1,2}))</f>
        <v>4</v>
      </c>
      <c r="Q39" s="1"/>
      <c r="R39" s="12">
        <f t="shared" si="1"/>
        <v>0</v>
      </c>
      <c r="S39" s="12">
        <f t="shared" si="2"/>
        <v>0</v>
      </c>
      <c r="T39" s="12">
        <f t="shared" si="3"/>
        <v>4</v>
      </c>
      <c r="U39" s="1"/>
      <c r="V39" s="1"/>
      <c r="W39" s="48" t="s">
        <v>63</v>
      </c>
    </row>
    <row r="40" spans="1:23" ht="21.95" customHeight="1">
      <c r="A40" s="1"/>
      <c r="B40" s="13">
        <v>32</v>
      </c>
      <c r="C40" s="18">
        <v>160923733153</v>
      </c>
      <c r="D40" s="10">
        <v>1</v>
      </c>
      <c r="E40" s="10">
        <v>2</v>
      </c>
      <c r="F40" s="10"/>
      <c r="G40" s="10"/>
      <c r="H40" s="10"/>
      <c r="I40" s="10">
        <v>5</v>
      </c>
      <c r="J40" s="10"/>
      <c r="K40" s="10"/>
      <c r="L40" s="10"/>
      <c r="M40" s="9">
        <f t="shared" si="6"/>
        <v>8</v>
      </c>
      <c r="N40" s="1"/>
      <c r="O40" s="1"/>
      <c r="P40" s="11">
        <f>SUM(LARGE(R40:T40,{1,2}))</f>
        <v>5</v>
      </c>
      <c r="Q40" s="1"/>
      <c r="R40" s="12">
        <f t="shared" si="1"/>
        <v>0</v>
      </c>
      <c r="S40" s="12">
        <f t="shared" si="2"/>
        <v>5</v>
      </c>
      <c r="T40" s="12">
        <f t="shared" si="3"/>
        <v>0</v>
      </c>
      <c r="U40" s="1"/>
      <c r="V40" s="1"/>
      <c r="W40" s="48" t="s">
        <v>64</v>
      </c>
    </row>
    <row r="41" spans="1:23" ht="21.95" customHeight="1">
      <c r="A41" s="1"/>
      <c r="B41" s="6">
        <v>33</v>
      </c>
      <c r="C41" s="18">
        <v>160923733154</v>
      </c>
      <c r="D41" s="10"/>
      <c r="E41" s="10"/>
      <c r="F41" s="10"/>
      <c r="G41" s="10"/>
      <c r="H41" s="10"/>
      <c r="I41" s="10"/>
      <c r="J41" s="10"/>
      <c r="K41" s="10"/>
      <c r="L41" s="10"/>
      <c r="M41" s="9">
        <f t="shared" si="6"/>
        <v>0</v>
      </c>
      <c r="N41" s="1"/>
      <c r="O41" s="1"/>
      <c r="P41" s="11">
        <f>SUM(LARGE(R41:T41,{1,2}))</f>
        <v>0</v>
      </c>
      <c r="Q41" s="1"/>
      <c r="R41" s="12">
        <f t="shared" si="1"/>
        <v>0</v>
      </c>
      <c r="S41" s="12">
        <f t="shared" si="2"/>
        <v>0</v>
      </c>
      <c r="T41" s="12">
        <f t="shared" si="3"/>
        <v>0</v>
      </c>
      <c r="U41" s="1"/>
      <c r="V41" s="1"/>
      <c r="W41" s="48" t="s">
        <v>65</v>
      </c>
    </row>
    <row r="42" spans="1:23" ht="21.95" customHeight="1">
      <c r="A42" s="1"/>
      <c r="B42" s="13">
        <v>34</v>
      </c>
      <c r="C42" s="18">
        <v>160923733155</v>
      </c>
      <c r="D42" s="10">
        <v>1</v>
      </c>
      <c r="E42" s="10">
        <v>2</v>
      </c>
      <c r="F42" s="10"/>
      <c r="G42" s="10"/>
      <c r="H42" s="10"/>
      <c r="I42" s="10">
        <v>7</v>
      </c>
      <c r="J42" s="10"/>
      <c r="K42" s="10"/>
      <c r="L42" s="10"/>
      <c r="M42" s="9">
        <f t="shared" si="6"/>
        <v>10</v>
      </c>
      <c r="N42" s="1"/>
      <c r="O42" s="1"/>
      <c r="P42" s="11">
        <f>SUM(LARGE(R42:T42,{1,2}))</f>
        <v>7</v>
      </c>
      <c r="Q42" s="1"/>
      <c r="R42" s="12">
        <f t="shared" si="1"/>
        <v>0</v>
      </c>
      <c r="S42" s="12">
        <f t="shared" si="2"/>
        <v>7</v>
      </c>
      <c r="T42" s="12">
        <f t="shared" si="3"/>
        <v>0</v>
      </c>
      <c r="U42" s="1"/>
      <c r="V42" s="1"/>
      <c r="W42" s="48" t="s">
        <v>66</v>
      </c>
    </row>
    <row r="43" spans="1:23" ht="21.95" customHeight="1">
      <c r="A43" s="1"/>
      <c r="B43" s="6">
        <v>35</v>
      </c>
      <c r="C43" s="18">
        <v>160923733156</v>
      </c>
      <c r="D43" s="10">
        <v>1</v>
      </c>
      <c r="E43" s="10">
        <v>1</v>
      </c>
      <c r="F43" s="10">
        <v>1</v>
      </c>
      <c r="G43" s="10">
        <v>7</v>
      </c>
      <c r="H43" s="10"/>
      <c r="I43" s="10">
        <v>7</v>
      </c>
      <c r="J43" s="10"/>
      <c r="K43" s="10"/>
      <c r="L43" s="10"/>
      <c r="M43" s="9">
        <f t="shared" si="6"/>
        <v>17</v>
      </c>
      <c r="N43" s="1"/>
      <c r="O43" s="1"/>
      <c r="P43" s="11">
        <f>SUM(LARGE(R43:T43,{1,2}))</f>
        <v>14</v>
      </c>
      <c r="Q43" s="1"/>
      <c r="R43" s="12">
        <f t="shared" si="1"/>
        <v>7</v>
      </c>
      <c r="S43" s="12">
        <f t="shared" si="2"/>
        <v>7</v>
      </c>
      <c r="T43" s="12">
        <f t="shared" si="3"/>
        <v>0</v>
      </c>
      <c r="U43" s="1"/>
      <c r="V43" s="1"/>
      <c r="W43" s="48" t="s">
        <v>67</v>
      </c>
    </row>
    <row r="44" spans="1:23" ht="21.95" customHeight="1">
      <c r="A44" s="1"/>
      <c r="B44" s="13">
        <v>36</v>
      </c>
      <c r="C44" s="18">
        <v>160923733157</v>
      </c>
      <c r="D44" s="10">
        <v>1</v>
      </c>
      <c r="E44" s="10"/>
      <c r="F44" s="10"/>
      <c r="G44" s="10">
        <v>7</v>
      </c>
      <c r="H44" s="10"/>
      <c r="I44" s="10"/>
      <c r="J44" s="10"/>
      <c r="K44" s="10"/>
      <c r="L44" s="10"/>
      <c r="M44" s="9">
        <f t="shared" si="6"/>
        <v>8</v>
      </c>
      <c r="N44" s="1"/>
      <c r="O44" s="1"/>
      <c r="P44" s="11">
        <f>SUM(LARGE(R44:T44,{1,2}))</f>
        <v>7</v>
      </c>
      <c r="Q44" s="1"/>
      <c r="R44" s="12">
        <f t="shared" si="1"/>
        <v>7</v>
      </c>
      <c r="S44" s="12">
        <f t="shared" si="2"/>
        <v>0</v>
      </c>
      <c r="T44" s="12">
        <f t="shared" si="3"/>
        <v>0</v>
      </c>
      <c r="U44" s="1"/>
      <c r="V44" s="1"/>
      <c r="W44" s="48" t="s">
        <v>68</v>
      </c>
    </row>
    <row r="45" spans="1:23" ht="21.95" customHeight="1">
      <c r="A45" s="1"/>
      <c r="B45" s="6">
        <v>37</v>
      </c>
      <c r="C45" s="18">
        <v>160923733158</v>
      </c>
      <c r="D45" s="10">
        <v>1</v>
      </c>
      <c r="E45" s="10"/>
      <c r="F45" s="10"/>
      <c r="G45" s="10">
        <v>7</v>
      </c>
      <c r="H45" s="10"/>
      <c r="I45" s="10">
        <v>7</v>
      </c>
      <c r="J45" s="10"/>
      <c r="K45" s="10"/>
      <c r="L45" s="10"/>
      <c r="M45" s="9">
        <f t="shared" si="6"/>
        <v>15</v>
      </c>
      <c r="N45" s="1"/>
      <c r="O45" s="1"/>
      <c r="P45" s="11">
        <f>SUM(LARGE(R45:T45,{1,2}))</f>
        <v>14</v>
      </c>
      <c r="Q45" s="1"/>
      <c r="R45" s="12">
        <f t="shared" si="1"/>
        <v>7</v>
      </c>
      <c r="S45" s="12">
        <f t="shared" si="2"/>
        <v>7</v>
      </c>
      <c r="T45" s="12">
        <f t="shared" si="3"/>
        <v>0</v>
      </c>
      <c r="U45" s="1"/>
      <c r="V45" s="1"/>
      <c r="W45" s="48" t="s">
        <v>69</v>
      </c>
    </row>
    <row r="46" spans="1:23" ht="21.95" customHeight="1">
      <c r="A46" s="1"/>
      <c r="B46" s="13">
        <v>38</v>
      </c>
      <c r="C46" s="18">
        <v>160923733159</v>
      </c>
      <c r="D46" s="10"/>
      <c r="E46" s="10"/>
      <c r="F46" s="10"/>
      <c r="G46" s="10"/>
      <c r="H46" s="10"/>
      <c r="I46" s="10">
        <v>7</v>
      </c>
      <c r="J46" s="10"/>
      <c r="K46" s="10"/>
      <c r="L46" s="10"/>
      <c r="M46" s="9">
        <f t="shared" si="6"/>
        <v>7</v>
      </c>
      <c r="N46" s="1"/>
      <c r="O46" s="1"/>
      <c r="P46" s="11">
        <f>SUM(LARGE(R46:T46,{1,2}))</f>
        <v>7</v>
      </c>
      <c r="Q46" s="1"/>
      <c r="R46" s="12">
        <f t="shared" si="1"/>
        <v>0</v>
      </c>
      <c r="S46" s="12">
        <f t="shared" si="2"/>
        <v>7</v>
      </c>
      <c r="T46" s="12">
        <f t="shared" si="3"/>
        <v>0</v>
      </c>
      <c r="U46" s="1"/>
      <c r="V46" s="1"/>
      <c r="W46" s="48" t="s">
        <v>70</v>
      </c>
    </row>
    <row r="47" spans="1:23" ht="21.95" customHeight="1">
      <c r="A47" s="1"/>
      <c r="B47" s="6">
        <v>39</v>
      </c>
      <c r="C47" s="18">
        <v>160923733160</v>
      </c>
      <c r="D47" s="10"/>
      <c r="E47" s="10"/>
      <c r="F47" s="10"/>
      <c r="G47" s="10"/>
      <c r="H47" s="10"/>
      <c r="I47" s="10">
        <v>7</v>
      </c>
      <c r="J47" s="10"/>
      <c r="K47" s="10"/>
      <c r="L47" s="10"/>
      <c r="M47" s="9">
        <f t="shared" si="6"/>
        <v>7</v>
      </c>
      <c r="N47" s="1"/>
      <c r="O47" s="1"/>
      <c r="P47" s="11">
        <f>SUM(LARGE(R47:T47,{1,2}))</f>
        <v>7</v>
      </c>
      <c r="Q47" s="1"/>
      <c r="R47" s="12">
        <f t="shared" si="1"/>
        <v>0</v>
      </c>
      <c r="S47" s="12">
        <f t="shared" si="2"/>
        <v>7</v>
      </c>
      <c r="T47" s="12">
        <f t="shared" si="3"/>
        <v>0</v>
      </c>
      <c r="U47" s="1"/>
      <c r="V47" s="1"/>
      <c r="W47" s="48" t="s">
        <v>71</v>
      </c>
    </row>
    <row r="48" spans="1:23" ht="21.95" customHeight="1">
      <c r="A48" s="1"/>
      <c r="B48" s="13">
        <v>40</v>
      </c>
      <c r="C48" s="18">
        <v>160923733161</v>
      </c>
      <c r="D48" s="10">
        <v>1</v>
      </c>
      <c r="E48" s="10"/>
      <c r="F48" s="10"/>
      <c r="G48" s="10"/>
      <c r="H48" s="10"/>
      <c r="I48" s="10">
        <v>7</v>
      </c>
      <c r="J48" s="10"/>
      <c r="K48" s="10"/>
      <c r="L48" s="10"/>
      <c r="M48" s="9">
        <f t="shared" si="6"/>
        <v>8</v>
      </c>
      <c r="N48" s="1"/>
      <c r="O48" s="1"/>
      <c r="P48" s="11">
        <f>SUM(LARGE(R48:T48,{1,2}))</f>
        <v>7</v>
      </c>
      <c r="Q48" s="1"/>
      <c r="R48" s="12">
        <f t="shared" si="1"/>
        <v>0</v>
      </c>
      <c r="S48" s="12">
        <f t="shared" si="2"/>
        <v>7</v>
      </c>
      <c r="T48" s="12">
        <f t="shared" si="3"/>
        <v>0</v>
      </c>
      <c r="U48" s="1"/>
      <c r="V48" s="1"/>
      <c r="W48" s="48" t="s">
        <v>72</v>
      </c>
    </row>
    <row r="49" spans="1:23" ht="21.95" customHeight="1">
      <c r="A49" s="1"/>
      <c r="B49" s="6">
        <v>41</v>
      </c>
      <c r="C49" s="18">
        <v>160923733162</v>
      </c>
      <c r="D49" s="10"/>
      <c r="E49" s="10"/>
      <c r="F49" s="10"/>
      <c r="G49" s="10"/>
      <c r="H49" s="10"/>
      <c r="I49" s="10">
        <v>7</v>
      </c>
      <c r="J49" s="10"/>
      <c r="K49" s="10"/>
      <c r="L49" s="10"/>
      <c r="M49" s="9">
        <f t="shared" si="6"/>
        <v>7</v>
      </c>
      <c r="N49" s="1"/>
      <c r="O49" s="1"/>
      <c r="P49" s="11">
        <f>SUM(LARGE(R49:T49,{1,2}))</f>
        <v>7</v>
      </c>
      <c r="Q49" s="1"/>
      <c r="R49" s="12">
        <f t="shared" si="1"/>
        <v>0</v>
      </c>
      <c r="S49" s="12">
        <f t="shared" si="2"/>
        <v>7</v>
      </c>
      <c r="T49" s="12">
        <f t="shared" si="3"/>
        <v>0</v>
      </c>
      <c r="U49" s="1"/>
      <c r="V49" s="1"/>
      <c r="W49" s="48" t="s">
        <v>73</v>
      </c>
    </row>
    <row r="50" spans="1:23" ht="21.95" customHeight="1">
      <c r="A50" s="1"/>
      <c r="B50" s="13">
        <v>42</v>
      </c>
      <c r="C50" s="18">
        <v>160923733163</v>
      </c>
      <c r="D50" s="10"/>
      <c r="E50" s="10"/>
      <c r="F50" s="10"/>
      <c r="G50" s="10"/>
      <c r="H50" s="10"/>
      <c r="I50" s="10">
        <v>3</v>
      </c>
      <c r="J50" s="10"/>
      <c r="K50" s="10"/>
      <c r="L50" s="10"/>
      <c r="M50" s="9">
        <f t="shared" si="6"/>
        <v>3</v>
      </c>
      <c r="N50" s="1"/>
      <c r="O50" s="1"/>
      <c r="P50" s="11">
        <f>SUM(LARGE(R50:T50,{1,2}))</f>
        <v>3</v>
      </c>
      <c r="Q50" s="1"/>
      <c r="R50" s="12">
        <f t="shared" si="1"/>
        <v>0</v>
      </c>
      <c r="S50" s="12">
        <f t="shared" si="2"/>
        <v>3</v>
      </c>
      <c r="T50" s="12">
        <f t="shared" si="3"/>
        <v>0</v>
      </c>
      <c r="U50" s="1"/>
      <c r="V50" s="1"/>
      <c r="W50" s="48" t="s">
        <v>74</v>
      </c>
    </row>
    <row r="51" spans="1:23" ht="21.95" customHeight="1">
      <c r="A51" s="1"/>
      <c r="B51" s="6">
        <v>43</v>
      </c>
      <c r="C51" s="18">
        <v>160923733164</v>
      </c>
      <c r="D51" s="10"/>
      <c r="E51" s="10"/>
      <c r="F51" s="10"/>
      <c r="G51" s="10"/>
      <c r="H51" s="10"/>
      <c r="I51" s="10"/>
      <c r="J51" s="10"/>
      <c r="K51" s="10"/>
      <c r="L51" s="10"/>
      <c r="M51" s="9">
        <f t="shared" si="6"/>
        <v>0</v>
      </c>
      <c r="N51" s="1"/>
      <c r="O51" s="1"/>
      <c r="P51" s="11">
        <f>SUM(LARGE(R51:T51,{1,2}))</f>
        <v>0</v>
      </c>
      <c r="Q51" s="1"/>
      <c r="R51" s="12">
        <f t="shared" si="1"/>
        <v>0</v>
      </c>
      <c r="S51" s="12">
        <f t="shared" si="2"/>
        <v>0</v>
      </c>
      <c r="T51" s="12">
        <f t="shared" si="3"/>
        <v>0</v>
      </c>
      <c r="U51" s="1"/>
      <c r="V51" s="1"/>
      <c r="W51" s="48" t="s">
        <v>75</v>
      </c>
    </row>
    <row r="52" spans="1:23" ht="21.95" customHeight="1">
      <c r="A52" s="1"/>
      <c r="B52" s="13">
        <v>44</v>
      </c>
      <c r="C52" s="18">
        <v>160923733165</v>
      </c>
      <c r="D52" s="10"/>
      <c r="E52" s="10"/>
      <c r="F52" s="10"/>
      <c r="G52" s="10"/>
      <c r="H52" s="10"/>
      <c r="I52" s="10"/>
      <c r="J52" s="10"/>
      <c r="K52" s="10"/>
      <c r="L52" s="10"/>
      <c r="M52" s="9">
        <f t="shared" si="6"/>
        <v>0</v>
      </c>
      <c r="N52" s="1"/>
      <c r="O52" s="1"/>
      <c r="P52" s="11">
        <f>SUM(LARGE(R52:T52,{1,2}))</f>
        <v>0</v>
      </c>
      <c r="Q52" s="1"/>
      <c r="R52" s="12">
        <f t="shared" si="1"/>
        <v>0</v>
      </c>
      <c r="S52" s="12">
        <f t="shared" si="2"/>
        <v>0</v>
      </c>
      <c r="T52" s="12">
        <f t="shared" si="3"/>
        <v>0</v>
      </c>
      <c r="U52" s="1"/>
      <c r="V52" s="1"/>
      <c r="W52" s="48" t="s">
        <v>76</v>
      </c>
    </row>
    <row r="53" spans="1:23" ht="21.95" customHeight="1">
      <c r="A53" s="1"/>
      <c r="B53" s="6">
        <v>45</v>
      </c>
      <c r="C53" s="18">
        <v>160923733166</v>
      </c>
      <c r="D53" s="10"/>
      <c r="E53" s="10"/>
      <c r="F53" s="10"/>
      <c r="G53" s="10"/>
      <c r="H53" s="10"/>
      <c r="I53" s="10">
        <v>7</v>
      </c>
      <c r="J53" s="10"/>
      <c r="K53" s="10"/>
      <c r="L53" s="10"/>
      <c r="M53" s="9">
        <f t="shared" si="6"/>
        <v>7</v>
      </c>
      <c r="N53" s="1"/>
      <c r="O53" s="1"/>
      <c r="P53" s="11">
        <f>SUM(LARGE(R53:T53,{1,2}))</f>
        <v>7</v>
      </c>
      <c r="Q53" s="1"/>
      <c r="R53" s="12">
        <f t="shared" si="1"/>
        <v>0</v>
      </c>
      <c r="S53" s="12">
        <f t="shared" si="2"/>
        <v>7</v>
      </c>
      <c r="T53" s="12">
        <f t="shared" si="3"/>
        <v>0</v>
      </c>
      <c r="U53" s="1"/>
      <c r="V53" s="1"/>
      <c r="W53" s="48" t="s">
        <v>77</v>
      </c>
    </row>
    <row r="54" spans="1:23" ht="21.95" customHeight="1">
      <c r="A54" s="1"/>
      <c r="B54" s="13">
        <v>46</v>
      </c>
      <c r="C54" s="18">
        <v>160923733167</v>
      </c>
      <c r="D54" s="10"/>
      <c r="E54" s="10"/>
      <c r="F54" s="10"/>
      <c r="G54" s="10"/>
      <c r="H54" s="10"/>
      <c r="I54" s="10">
        <v>7</v>
      </c>
      <c r="J54" s="10"/>
      <c r="K54" s="10"/>
      <c r="L54" s="10"/>
      <c r="M54" s="9">
        <f t="shared" si="6"/>
        <v>7</v>
      </c>
      <c r="N54" s="1"/>
      <c r="O54" s="1"/>
      <c r="P54" s="11">
        <f>SUM(LARGE(R54:T54,{1,2}))</f>
        <v>7</v>
      </c>
      <c r="Q54" s="1"/>
      <c r="R54" s="12">
        <f t="shared" si="1"/>
        <v>0</v>
      </c>
      <c r="S54" s="12">
        <f t="shared" si="2"/>
        <v>7</v>
      </c>
      <c r="T54" s="12">
        <f t="shared" si="3"/>
        <v>0</v>
      </c>
      <c r="U54" s="1"/>
      <c r="V54" s="1"/>
      <c r="W54" s="48" t="s">
        <v>78</v>
      </c>
    </row>
    <row r="55" spans="1:23" ht="21.95" customHeight="1">
      <c r="A55" s="1"/>
      <c r="B55" s="6">
        <v>47</v>
      </c>
      <c r="C55" s="18">
        <v>160923733168</v>
      </c>
      <c r="D55" s="10"/>
      <c r="E55" s="10"/>
      <c r="F55" s="10"/>
      <c r="G55" s="10"/>
      <c r="H55" s="10"/>
      <c r="I55" s="10">
        <v>7</v>
      </c>
      <c r="J55" s="10"/>
      <c r="K55" s="10"/>
      <c r="L55" s="10"/>
      <c r="M55" s="9">
        <f t="shared" si="6"/>
        <v>7</v>
      </c>
      <c r="N55" s="1"/>
      <c r="O55" s="1"/>
      <c r="P55" s="11">
        <f>SUM(LARGE(R55:T55,{1,2}))</f>
        <v>7</v>
      </c>
      <c r="Q55" s="1"/>
      <c r="R55" s="12">
        <f t="shared" si="1"/>
        <v>0</v>
      </c>
      <c r="S55" s="12">
        <f t="shared" si="2"/>
        <v>7</v>
      </c>
      <c r="T55" s="12">
        <f t="shared" si="3"/>
        <v>0</v>
      </c>
      <c r="U55" s="1"/>
      <c r="V55" s="1"/>
      <c r="W55" s="48" t="s">
        <v>79</v>
      </c>
    </row>
    <row r="56" spans="1:23" ht="21.95" customHeight="1">
      <c r="A56" s="1"/>
      <c r="B56" s="13">
        <v>48</v>
      </c>
      <c r="C56" s="18">
        <v>160923733169</v>
      </c>
      <c r="D56" s="10"/>
      <c r="E56" s="10">
        <v>2</v>
      </c>
      <c r="F56" s="10">
        <v>1</v>
      </c>
      <c r="G56" s="10"/>
      <c r="H56" s="10"/>
      <c r="I56" s="10">
        <v>7</v>
      </c>
      <c r="J56" s="10"/>
      <c r="K56" s="10"/>
      <c r="L56" s="10"/>
      <c r="M56" s="9">
        <f t="shared" ref="M56:M72" si="7">SUM(D56:L56)</f>
        <v>10</v>
      </c>
      <c r="N56" s="1"/>
      <c r="O56" s="1"/>
      <c r="P56" s="11"/>
      <c r="Q56" s="1"/>
      <c r="R56" s="12"/>
      <c r="S56" s="12">
        <f t="shared" si="2"/>
        <v>7</v>
      </c>
      <c r="T56" s="12"/>
      <c r="U56" s="1"/>
      <c r="V56" s="1"/>
      <c r="W56" s="48" t="s">
        <v>80</v>
      </c>
    </row>
    <row r="57" spans="1:23" ht="21.95" customHeight="1">
      <c r="A57" s="1"/>
      <c r="B57" s="6">
        <v>49</v>
      </c>
      <c r="C57" s="18">
        <v>160923733170</v>
      </c>
      <c r="D57" s="10">
        <v>1</v>
      </c>
      <c r="E57" s="10"/>
      <c r="F57" s="10">
        <v>1</v>
      </c>
      <c r="G57" s="10"/>
      <c r="H57" s="10"/>
      <c r="I57" s="10">
        <v>7</v>
      </c>
      <c r="J57" s="10"/>
      <c r="K57" s="10"/>
      <c r="L57" s="10"/>
      <c r="M57" s="9">
        <f t="shared" si="7"/>
        <v>9</v>
      </c>
      <c r="N57" s="1"/>
      <c r="O57" s="1"/>
      <c r="P57" s="11">
        <f>SUM(LARGE(R57:T57,{1,2}))</f>
        <v>7</v>
      </c>
      <c r="Q57" s="1"/>
      <c r="R57" s="12">
        <f t="shared" si="1"/>
        <v>0</v>
      </c>
      <c r="S57" s="12">
        <f t="shared" si="2"/>
        <v>7</v>
      </c>
      <c r="T57" s="12">
        <f t="shared" si="3"/>
        <v>0</v>
      </c>
      <c r="U57" s="1"/>
      <c r="V57" s="1"/>
      <c r="W57" s="48" t="s">
        <v>81</v>
      </c>
    </row>
    <row r="58" spans="1:23" ht="21.95" customHeight="1">
      <c r="A58" s="1"/>
      <c r="B58" s="13">
        <v>50</v>
      </c>
      <c r="C58" s="18">
        <v>160923733171</v>
      </c>
      <c r="D58" s="10">
        <v>2</v>
      </c>
      <c r="E58" s="10">
        <v>2</v>
      </c>
      <c r="F58" s="10">
        <v>2</v>
      </c>
      <c r="G58" s="10">
        <v>7</v>
      </c>
      <c r="H58" s="10"/>
      <c r="I58" s="10">
        <v>7</v>
      </c>
      <c r="J58" s="10"/>
      <c r="K58" s="10"/>
      <c r="L58" s="10"/>
      <c r="M58" s="9">
        <f t="shared" si="7"/>
        <v>20</v>
      </c>
      <c r="N58" s="1"/>
      <c r="O58" s="1"/>
      <c r="P58" s="11">
        <f>SUM(LARGE(R58:T58,{1,2}))</f>
        <v>14</v>
      </c>
      <c r="Q58" s="1"/>
      <c r="R58" s="12">
        <f t="shared" si="1"/>
        <v>7</v>
      </c>
      <c r="S58" s="12">
        <f t="shared" si="2"/>
        <v>7</v>
      </c>
      <c r="T58" s="12">
        <f t="shared" si="3"/>
        <v>0</v>
      </c>
      <c r="U58" s="1"/>
      <c r="V58" s="1"/>
      <c r="W58" s="48" t="s">
        <v>82</v>
      </c>
    </row>
    <row r="59" spans="1:23" ht="21.95" customHeight="1">
      <c r="A59" s="1"/>
      <c r="B59" s="6">
        <v>51</v>
      </c>
      <c r="C59" s="18">
        <v>160923733172</v>
      </c>
      <c r="D59" s="10"/>
      <c r="E59" s="10"/>
      <c r="F59" s="10"/>
      <c r="G59" s="10"/>
      <c r="H59" s="10"/>
      <c r="I59" s="10"/>
      <c r="J59" s="10"/>
      <c r="K59" s="10">
        <v>4</v>
      </c>
      <c r="L59" s="10"/>
      <c r="M59" s="9">
        <f t="shared" si="7"/>
        <v>4</v>
      </c>
      <c r="N59" s="1"/>
      <c r="O59" s="1"/>
      <c r="P59" s="11"/>
      <c r="Q59" s="1"/>
      <c r="R59" s="12"/>
      <c r="S59" s="12"/>
      <c r="T59" s="12"/>
      <c r="U59" s="1"/>
      <c r="V59" s="1"/>
      <c r="W59" s="48" t="s">
        <v>83</v>
      </c>
    </row>
    <row r="60" spans="1:23" ht="21.95" customHeight="1">
      <c r="A60" s="1"/>
      <c r="B60" s="13">
        <v>52</v>
      </c>
      <c r="C60" s="18">
        <v>160923733173</v>
      </c>
      <c r="D60" s="10">
        <v>1</v>
      </c>
      <c r="E60" s="10"/>
      <c r="F60" s="10"/>
      <c r="G60" s="10"/>
      <c r="H60" s="10"/>
      <c r="I60" s="10">
        <v>7</v>
      </c>
      <c r="J60" s="10"/>
      <c r="K60" s="10"/>
      <c r="L60" s="10"/>
      <c r="M60" s="9">
        <f t="shared" si="7"/>
        <v>8</v>
      </c>
      <c r="N60" s="1"/>
      <c r="O60" s="1"/>
      <c r="P60" s="11"/>
      <c r="Q60" s="1"/>
      <c r="R60" s="12"/>
      <c r="S60" s="12"/>
      <c r="T60" s="12"/>
      <c r="U60" s="1"/>
      <c r="V60" s="1"/>
      <c r="W60" s="48" t="s">
        <v>84</v>
      </c>
    </row>
    <row r="61" spans="1:23" ht="21.95" customHeight="1">
      <c r="A61" s="1"/>
      <c r="B61" s="6">
        <v>53</v>
      </c>
      <c r="C61" s="18">
        <v>160923733174</v>
      </c>
      <c r="D61" s="10"/>
      <c r="E61" s="10"/>
      <c r="F61" s="10"/>
      <c r="G61" s="10"/>
      <c r="H61" s="10"/>
      <c r="I61" s="10">
        <v>7</v>
      </c>
      <c r="J61" s="10"/>
      <c r="K61" s="10"/>
      <c r="L61" s="10"/>
      <c r="M61" s="9">
        <f t="shared" si="7"/>
        <v>7</v>
      </c>
      <c r="N61" s="1"/>
      <c r="O61" s="1"/>
      <c r="P61" s="11"/>
      <c r="Q61" s="1"/>
      <c r="R61" s="12"/>
      <c r="S61" s="12"/>
      <c r="T61" s="12"/>
      <c r="U61" s="1"/>
      <c r="V61" s="1"/>
      <c r="W61" s="48" t="s">
        <v>85</v>
      </c>
    </row>
    <row r="62" spans="1:23" ht="21.95" customHeight="1">
      <c r="A62" s="1"/>
      <c r="B62" s="13">
        <v>54</v>
      </c>
      <c r="C62" s="18">
        <v>160923733175</v>
      </c>
      <c r="D62" s="10"/>
      <c r="E62" s="10"/>
      <c r="F62" s="10"/>
      <c r="G62" s="10"/>
      <c r="H62" s="10"/>
      <c r="I62" s="10">
        <v>7</v>
      </c>
      <c r="J62" s="10"/>
      <c r="K62" s="10"/>
      <c r="L62" s="10"/>
      <c r="M62" s="9">
        <f t="shared" si="7"/>
        <v>7</v>
      </c>
      <c r="N62" s="1"/>
      <c r="O62" s="1"/>
      <c r="P62" s="11"/>
      <c r="Q62" s="1"/>
      <c r="R62" s="12"/>
      <c r="S62" s="12"/>
      <c r="T62" s="12"/>
      <c r="U62" s="1"/>
      <c r="V62" s="1"/>
      <c r="W62" s="48" t="s">
        <v>73</v>
      </c>
    </row>
    <row r="63" spans="1:23" ht="21.95" customHeight="1">
      <c r="A63" s="1"/>
      <c r="B63" s="6">
        <v>55</v>
      </c>
      <c r="C63" s="18">
        <v>160923733176</v>
      </c>
      <c r="D63" s="10"/>
      <c r="E63" s="10"/>
      <c r="F63" s="10"/>
      <c r="G63" s="10"/>
      <c r="H63" s="10"/>
      <c r="I63" s="10">
        <v>4</v>
      </c>
      <c r="J63" s="10"/>
      <c r="K63" s="10"/>
      <c r="L63" s="10"/>
      <c r="M63" s="9">
        <v>4</v>
      </c>
      <c r="N63" s="1"/>
      <c r="O63" s="1"/>
      <c r="P63" s="11"/>
      <c r="Q63" s="1"/>
      <c r="R63" s="12"/>
      <c r="S63" s="12"/>
      <c r="T63" s="12"/>
      <c r="U63" s="1"/>
      <c r="V63" s="1"/>
      <c r="W63" s="48" t="s">
        <v>86</v>
      </c>
    </row>
    <row r="64" spans="1:23" ht="21.95" customHeight="1">
      <c r="A64" s="1"/>
      <c r="B64" s="13">
        <v>56</v>
      </c>
      <c r="C64" s="18">
        <v>160923733178</v>
      </c>
      <c r="D64" s="10"/>
      <c r="E64" s="10"/>
      <c r="F64" s="10"/>
      <c r="G64" s="10"/>
      <c r="H64" s="10"/>
      <c r="I64" s="10"/>
      <c r="J64" s="10"/>
      <c r="K64" s="10"/>
      <c r="L64" s="10"/>
      <c r="M64" s="9">
        <f t="shared" si="7"/>
        <v>0</v>
      </c>
      <c r="N64" s="1"/>
      <c r="O64" s="1"/>
      <c r="P64" s="11"/>
      <c r="Q64" s="1"/>
      <c r="R64" s="12"/>
      <c r="S64" s="12"/>
      <c r="T64" s="12"/>
      <c r="U64" s="1"/>
      <c r="V64" s="1"/>
      <c r="W64" s="48" t="s">
        <v>87</v>
      </c>
    </row>
    <row r="65" spans="1:23" ht="21.95" customHeight="1">
      <c r="A65" s="1"/>
      <c r="B65" s="6">
        <v>57</v>
      </c>
      <c r="C65" s="18">
        <v>160923733179</v>
      </c>
      <c r="D65" s="10">
        <v>1</v>
      </c>
      <c r="E65" s="10"/>
      <c r="F65" s="10">
        <v>1</v>
      </c>
      <c r="G65" s="10"/>
      <c r="H65" s="10"/>
      <c r="I65" s="10">
        <v>5</v>
      </c>
      <c r="J65" s="10"/>
      <c r="K65" s="10"/>
      <c r="L65" s="10"/>
      <c r="M65" s="9">
        <f t="shared" si="7"/>
        <v>7</v>
      </c>
      <c r="N65" s="1"/>
      <c r="O65" s="1"/>
      <c r="P65" s="11"/>
      <c r="Q65" s="1"/>
      <c r="R65" s="12"/>
      <c r="S65" s="12"/>
      <c r="T65" s="12"/>
      <c r="U65" s="1"/>
      <c r="V65" s="1"/>
      <c r="W65" s="48" t="s">
        <v>88</v>
      </c>
    </row>
    <row r="66" spans="1:23" ht="21.95" customHeight="1">
      <c r="A66" s="1"/>
      <c r="B66" s="13">
        <v>58</v>
      </c>
      <c r="C66" s="18">
        <v>160923733180</v>
      </c>
      <c r="D66" s="10">
        <v>1</v>
      </c>
      <c r="E66" s="10"/>
      <c r="F66" s="10"/>
      <c r="G66" s="10"/>
      <c r="H66" s="10"/>
      <c r="I66" s="10">
        <v>7</v>
      </c>
      <c r="J66" s="10"/>
      <c r="K66" s="10"/>
      <c r="L66" s="10"/>
      <c r="M66" s="9">
        <f t="shared" si="7"/>
        <v>8</v>
      </c>
      <c r="N66" s="1"/>
      <c r="O66" s="1"/>
      <c r="P66" s="11"/>
      <c r="Q66" s="1"/>
      <c r="R66" s="12"/>
      <c r="S66" s="12"/>
      <c r="T66" s="12"/>
      <c r="U66" s="1"/>
      <c r="V66" s="1"/>
      <c r="W66" s="48" t="s">
        <v>89</v>
      </c>
    </row>
    <row r="67" spans="1:23" ht="21.95" customHeight="1">
      <c r="A67" s="1"/>
      <c r="B67" s="6">
        <v>59</v>
      </c>
      <c r="C67" s="18">
        <v>160923733313</v>
      </c>
      <c r="D67" s="19" t="s">
        <v>31</v>
      </c>
      <c r="E67" s="19" t="s">
        <v>31</v>
      </c>
      <c r="F67" s="19" t="s">
        <v>31</v>
      </c>
      <c r="G67" s="19" t="s">
        <v>31</v>
      </c>
      <c r="H67" s="19" t="s">
        <v>31</v>
      </c>
      <c r="I67" s="19" t="s">
        <v>31</v>
      </c>
      <c r="J67" s="19" t="s">
        <v>31</v>
      </c>
      <c r="K67" s="19" t="s">
        <v>31</v>
      </c>
      <c r="L67" s="19" t="s">
        <v>31</v>
      </c>
      <c r="M67" s="19" t="s">
        <v>31</v>
      </c>
      <c r="N67" s="1"/>
      <c r="O67" s="1"/>
      <c r="P67" s="11"/>
      <c r="Q67" s="1"/>
      <c r="R67" s="12"/>
      <c r="S67" s="12"/>
      <c r="T67" s="12"/>
      <c r="U67" s="1"/>
      <c r="V67" s="1"/>
      <c r="W67" s="49" t="s">
        <v>90</v>
      </c>
    </row>
    <row r="68" spans="1:23" ht="21.95" customHeight="1">
      <c r="A68" s="1"/>
      <c r="B68" s="13">
        <v>60</v>
      </c>
      <c r="C68" s="18">
        <v>160923733314</v>
      </c>
      <c r="D68" s="10">
        <v>1</v>
      </c>
      <c r="E68" s="10"/>
      <c r="F68" s="10"/>
      <c r="G68" s="10">
        <v>7</v>
      </c>
      <c r="H68" s="10"/>
      <c r="I68" s="10">
        <v>7</v>
      </c>
      <c r="J68" s="10"/>
      <c r="K68" s="10"/>
      <c r="L68" s="10"/>
      <c r="M68" s="9">
        <f t="shared" si="7"/>
        <v>15</v>
      </c>
      <c r="N68" s="1"/>
      <c r="O68" s="1"/>
      <c r="P68" s="11"/>
      <c r="Q68" s="1"/>
      <c r="R68" s="12"/>
      <c r="S68" s="12"/>
      <c r="T68" s="12"/>
      <c r="U68" s="1"/>
      <c r="V68" s="1"/>
      <c r="W68" s="50" t="s">
        <v>91</v>
      </c>
    </row>
    <row r="69" spans="1:23" ht="21.95" customHeight="1">
      <c r="A69" s="1"/>
      <c r="B69" s="6">
        <v>61</v>
      </c>
      <c r="C69" s="18">
        <v>160923733315</v>
      </c>
      <c r="D69" s="19" t="s">
        <v>31</v>
      </c>
      <c r="E69" s="19" t="s">
        <v>31</v>
      </c>
      <c r="F69" s="19" t="s">
        <v>31</v>
      </c>
      <c r="G69" s="19" t="s">
        <v>31</v>
      </c>
      <c r="H69" s="19" t="s">
        <v>31</v>
      </c>
      <c r="I69" s="19" t="s">
        <v>31</v>
      </c>
      <c r="J69" s="19" t="s">
        <v>31</v>
      </c>
      <c r="K69" s="19" t="s">
        <v>31</v>
      </c>
      <c r="L69" s="19" t="s">
        <v>31</v>
      </c>
      <c r="M69" s="19" t="s">
        <v>31</v>
      </c>
      <c r="N69" s="1"/>
      <c r="O69" s="1"/>
      <c r="P69" s="11"/>
      <c r="Q69" s="1"/>
      <c r="R69" s="12"/>
      <c r="S69" s="12"/>
      <c r="T69" s="12"/>
      <c r="U69" s="1"/>
      <c r="V69" s="1"/>
      <c r="W69" s="49" t="s">
        <v>92</v>
      </c>
    </row>
    <row r="70" spans="1:23" ht="21.95" customHeight="1">
      <c r="A70" s="1"/>
      <c r="B70" s="13">
        <v>62</v>
      </c>
      <c r="C70" s="18">
        <v>160923733316</v>
      </c>
      <c r="D70" s="10">
        <v>1</v>
      </c>
      <c r="E70" s="10">
        <v>2</v>
      </c>
      <c r="F70" s="10">
        <v>1</v>
      </c>
      <c r="G70" s="10"/>
      <c r="H70" s="10"/>
      <c r="I70" s="10">
        <v>7</v>
      </c>
      <c r="J70" s="10"/>
      <c r="K70" s="10">
        <v>4</v>
      </c>
      <c r="L70" s="10"/>
      <c r="M70" s="9">
        <f t="shared" si="7"/>
        <v>15</v>
      </c>
      <c r="N70" s="1"/>
      <c r="O70" s="1"/>
      <c r="P70" s="11"/>
      <c r="Q70" s="1"/>
      <c r="R70" s="12"/>
      <c r="S70" s="12"/>
      <c r="T70" s="12"/>
      <c r="U70" s="1"/>
      <c r="V70" s="1"/>
      <c r="W70" s="50" t="s">
        <v>93</v>
      </c>
    </row>
    <row r="71" spans="1:23" ht="21.95" customHeight="1">
      <c r="A71" s="1"/>
      <c r="B71" s="6">
        <v>63</v>
      </c>
      <c r="C71" s="18">
        <v>160923733317</v>
      </c>
      <c r="D71" s="10">
        <v>1</v>
      </c>
      <c r="E71" s="10"/>
      <c r="F71" s="10"/>
      <c r="G71" s="10"/>
      <c r="H71" s="10"/>
      <c r="I71" s="10">
        <v>7</v>
      </c>
      <c r="J71" s="10"/>
      <c r="K71" s="10">
        <v>4</v>
      </c>
      <c r="L71" s="10"/>
      <c r="M71" s="9">
        <f t="shared" si="7"/>
        <v>12</v>
      </c>
      <c r="N71" s="1"/>
      <c r="O71" s="1"/>
      <c r="P71" s="11"/>
      <c r="Q71" s="1"/>
      <c r="R71" s="12"/>
      <c r="S71" s="12"/>
      <c r="T71" s="12"/>
      <c r="U71" s="1"/>
      <c r="V71" s="1"/>
      <c r="W71" s="49" t="s">
        <v>94</v>
      </c>
    </row>
    <row r="72" spans="1:23" ht="21.95" customHeight="1">
      <c r="A72" s="1"/>
      <c r="B72" s="13">
        <v>64</v>
      </c>
      <c r="C72" s="18">
        <v>160923733318</v>
      </c>
      <c r="D72" s="10"/>
      <c r="E72" s="10"/>
      <c r="F72" s="10"/>
      <c r="G72" s="10">
        <v>4</v>
      </c>
      <c r="H72" s="10"/>
      <c r="I72" s="10">
        <v>7</v>
      </c>
      <c r="J72" s="10"/>
      <c r="K72" s="10"/>
      <c r="L72" s="10"/>
      <c r="M72" s="9">
        <f t="shared" si="7"/>
        <v>11</v>
      </c>
      <c r="N72" s="1"/>
      <c r="O72" s="1"/>
      <c r="P72" s="11"/>
      <c r="Q72" s="1"/>
      <c r="R72" s="12"/>
      <c r="S72" s="12"/>
      <c r="T72" s="12"/>
      <c r="U72" s="1"/>
      <c r="V72" s="1"/>
      <c r="W72" s="50" t="s">
        <v>95</v>
      </c>
    </row>
    <row r="73" spans="1:23" ht="15.75" customHeight="1">
      <c r="A73" s="1"/>
      <c r="B73" s="22" t="s">
        <v>16</v>
      </c>
      <c r="C73" s="22"/>
      <c r="D73" s="23" t="s">
        <v>17</v>
      </c>
      <c r="E73" s="24"/>
      <c r="F73" s="24"/>
      <c r="G73" s="24"/>
      <c r="H73" s="24"/>
      <c r="I73" s="25"/>
      <c r="J73" s="26" t="s">
        <v>18</v>
      </c>
      <c r="K73" s="26"/>
      <c r="L73" s="26"/>
      <c r="M73" s="26"/>
      <c r="N73" s="1"/>
      <c r="O73" s="1"/>
      <c r="P73" s="11">
        <f>SUM(LARGE(R73:T73,{1,2}))</f>
        <v>0</v>
      </c>
      <c r="Q73" s="1"/>
      <c r="R73" s="12">
        <f t="shared" si="1"/>
        <v>0</v>
      </c>
      <c r="S73" s="12">
        <f t="shared" si="2"/>
        <v>0</v>
      </c>
      <c r="T73" s="12">
        <f t="shared" si="3"/>
        <v>0</v>
      </c>
      <c r="U73" s="1"/>
      <c r="V73" s="1"/>
    </row>
    <row r="74" spans="1:23" ht="30" customHeight="1">
      <c r="A74" s="1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1"/>
      <c r="O74" s="1"/>
      <c r="P74" s="11">
        <f>SUM(LARGE(R74:T74,{1,2}))</f>
        <v>0</v>
      </c>
      <c r="Q74" s="1"/>
      <c r="R74" s="12">
        <f t="shared" si="1"/>
        <v>0</v>
      </c>
      <c r="S74" s="12">
        <f t="shared" si="2"/>
        <v>0</v>
      </c>
      <c r="T74" s="12">
        <f t="shared" si="3"/>
        <v>0</v>
      </c>
      <c r="U74" s="1"/>
      <c r="V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1">
        <f>SUM(LARGE(R75:T75,{1,2}))</f>
        <v>0</v>
      </c>
      <c r="Q75" s="1"/>
      <c r="R75" s="12">
        <f t="shared" si="1"/>
        <v>0</v>
      </c>
      <c r="S75" s="12">
        <f t="shared" si="2"/>
        <v>0</v>
      </c>
      <c r="T75" s="12">
        <f t="shared" si="3"/>
        <v>0</v>
      </c>
      <c r="U75" s="1"/>
      <c r="V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1">
        <f>SUM(LARGE(R76:T76,{1,2}))</f>
        <v>0</v>
      </c>
      <c r="Q76" s="1"/>
      <c r="R76" s="12">
        <f t="shared" si="1"/>
        <v>0</v>
      </c>
      <c r="S76" s="12">
        <f t="shared" si="2"/>
        <v>0</v>
      </c>
      <c r="T76" s="12">
        <f t="shared" si="3"/>
        <v>0</v>
      </c>
      <c r="U76" s="1"/>
      <c r="V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1">
        <f>SUM(LARGE(R77:T77,{1,2}))</f>
        <v>0</v>
      </c>
      <c r="Q77" s="1"/>
      <c r="R77" s="12">
        <f t="shared" si="1"/>
        <v>0</v>
      </c>
      <c r="S77" s="12">
        <f t="shared" si="2"/>
        <v>0</v>
      </c>
      <c r="T77" s="12">
        <f t="shared" si="3"/>
        <v>0</v>
      </c>
      <c r="U77" s="1"/>
      <c r="V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1">
        <f>SUM(LARGE(R78:T78,{1,2}))</f>
        <v>0</v>
      </c>
      <c r="Q78" s="1"/>
      <c r="R78" s="12">
        <f t="shared" si="1"/>
        <v>0</v>
      </c>
      <c r="S78" s="12">
        <f t="shared" si="2"/>
        <v>0</v>
      </c>
      <c r="T78" s="12">
        <f t="shared" si="3"/>
        <v>0</v>
      </c>
      <c r="U78" s="1"/>
      <c r="V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1">
        <f>SUM(LARGE(R79:T79,{1,2}))</f>
        <v>0</v>
      </c>
      <c r="Q79" s="1"/>
      <c r="R79" s="12">
        <f t="shared" si="1"/>
        <v>0</v>
      </c>
      <c r="S79" s="12">
        <f t="shared" si="2"/>
        <v>0</v>
      </c>
      <c r="T79" s="12">
        <f t="shared" si="3"/>
        <v>0</v>
      </c>
      <c r="U79" s="1"/>
      <c r="V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1">
        <f>SUM(LARGE(R80:T80,{1,2}))</f>
        <v>0</v>
      </c>
      <c r="Q80" s="1"/>
      <c r="R80" s="12">
        <f t="shared" si="1"/>
        <v>0</v>
      </c>
      <c r="S80" s="12">
        <f t="shared" si="2"/>
        <v>0</v>
      </c>
      <c r="T80" s="12">
        <f t="shared" si="3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1">
        <f>SUM(LARGE(R81:T81,{1,2}))</f>
        <v>0</v>
      </c>
      <c r="Q81" s="1"/>
      <c r="R81" s="12">
        <f t="shared" si="1"/>
        <v>0</v>
      </c>
      <c r="S81" s="12">
        <f t="shared" si="2"/>
        <v>0</v>
      </c>
      <c r="T81" s="12">
        <f t="shared" si="3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1">
        <f>SUM(LARGE(R82:T82,{1,2}))</f>
        <v>0</v>
      </c>
      <c r="Q82" s="1"/>
      <c r="R82" s="12">
        <f t="shared" si="1"/>
        <v>0</v>
      </c>
      <c r="S82" s="12">
        <f t="shared" si="2"/>
        <v>0</v>
      </c>
      <c r="T82" s="12">
        <f t="shared" si="3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1">
        <f>SUM(LARGE(R83:T83,{1,2}))</f>
        <v>0</v>
      </c>
      <c r="Q83" s="1"/>
      <c r="R83" s="12">
        <f t="shared" si="1"/>
        <v>0</v>
      </c>
      <c r="S83" s="12">
        <f t="shared" si="2"/>
        <v>0</v>
      </c>
      <c r="T83" s="12">
        <f t="shared" si="3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1">
        <f>SUM(LARGE(R84:T84,{1,2}))</f>
        <v>0</v>
      </c>
      <c r="Q84" s="1"/>
      <c r="R84" s="12">
        <f t="shared" si="1"/>
        <v>0</v>
      </c>
      <c r="S84" s="12">
        <f t="shared" si="2"/>
        <v>0</v>
      </c>
      <c r="T84" s="12">
        <f t="shared" si="3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1">
        <f>SUM(LARGE(R85:T85,{1,2}))</f>
        <v>0</v>
      </c>
      <c r="Q85" s="1"/>
      <c r="R85" s="12">
        <f t="shared" si="1"/>
        <v>0</v>
      </c>
      <c r="S85" s="12">
        <f t="shared" si="2"/>
        <v>0</v>
      </c>
      <c r="T85" s="12">
        <f t="shared" si="3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/>
    <row r="240" spans="1:2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73:C73"/>
    <mergeCell ref="D73:I73"/>
    <mergeCell ref="J73:M73"/>
    <mergeCell ref="B74:C74"/>
    <mergeCell ref="D74:I74"/>
    <mergeCell ref="J74:M74"/>
    <mergeCell ref="B7:B8"/>
    <mergeCell ref="C7:C8"/>
    <mergeCell ref="D7:F7"/>
    <mergeCell ref="G7:H7"/>
    <mergeCell ref="I7:J7"/>
    <mergeCell ref="K7:L7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W980"/>
  <sheetViews>
    <sheetView tabSelected="1" topLeftCell="A64" workbookViewId="0">
      <selection activeCell="W9" sqref="W9:W72"/>
    </sheetView>
  </sheetViews>
  <sheetFormatPr defaultColWidth="14.42578125" defaultRowHeight="15"/>
  <cols>
    <col min="1" max="1" width="0.85546875" style="2" customWidth="1"/>
    <col min="2" max="2" width="5.5703125" style="2" bestFit="1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16384" width="14.42578125" style="2"/>
  </cols>
  <sheetData>
    <row r="1" spans="1:23" ht="21" customHeight="1">
      <c r="A1" s="1"/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1"/>
      <c r="O1" s="1"/>
      <c r="P1" s="1"/>
      <c r="Q1" s="1"/>
      <c r="R1" s="1"/>
      <c r="S1" s="1"/>
      <c r="T1" s="1"/>
      <c r="U1" s="1"/>
      <c r="V1" s="1"/>
    </row>
    <row r="2" spans="1:23" ht="15.75" customHeight="1">
      <c r="A2" s="1"/>
      <c r="B2" s="37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1"/>
      <c r="O2" s="1"/>
      <c r="P2" s="1"/>
      <c r="Q2" s="1"/>
      <c r="R2" s="1"/>
      <c r="S2" s="1"/>
      <c r="T2" s="1"/>
      <c r="U2" s="1"/>
      <c r="V2" s="1"/>
    </row>
    <row r="3" spans="1:23">
      <c r="A3" s="1"/>
      <c r="B3" s="39" t="s">
        <v>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1"/>
      <c r="O3" s="1"/>
      <c r="P3" s="1"/>
      <c r="Q3" s="1"/>
      <c r="R3" s="1"/>
      <c r="S3" s="1"/>
      <c r="T3" s="1"/>
      <c r="U3" s="1"/>
      <c r="V3" s="1"/>
    </row>
    <row r="4" spans="1:23" ht="16.5" customHeight="1">
      <c r="A4" s="1"/>
      <c r="B4" s="40" t="s">
        <v>25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  <c r="N4" s="1"/>
      <c r="O4" s="1"/>
      <c r="P4" s="1"/>
      <c r="Q4" s="1"/>
      <c r="R4" s="1"/>
      <c r="S4" s="1"/>
      <c r="T4" s="1"/>
      <c r="U4" s="1"/>
      <c r="V4" s="1"/>
    </row>
    <row r="5" spans="1:23" ht="18.75">
      <c r="A5" s="1"/>
      <c r="B5" s="43" t="s">
        <v>24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  <c r="N5" s="1"/>
      <c r="O5" s="1"/>
      <c r="P5" s="1"/>
      <c r="Q5" s="1"/>
      <c r="R5" s="1"/>
      <c r="S5" s="1"/>
      <c r="T5" s="1"/>
      <c r="U5" s="1"/>
      <c r="V5" s="1"/>
    </row>
    <row r="6" spans="1:23" ht="22.5">
      <c r="A6" s="1"/>
      <c r="B6" s="31" t="s">
        <v>3</v>
      </c>
      <c r="C6" s="32"/>
      <c r="D6" s="46" t="s">
        <v>23</v>
      </c>
      <c r="E6" s="47"/>
      <c r="F6" s="47"/>
      <c r="G6" s="47"/>
      <c r="H6" s="47"/>
      <c r="I6" s="47"/>
      <c r="J6" s="47"/>
      <c r="K6" s="3" t="s">
        <v>4</v>
      </c>
      <c r="L6" s="34" t="s">
        <v>30</v>
      </c>
      <c r="M6" s="34"/>
      <c r="N6" s="1"/>
      <c r="O6" s="1"/>
      <c r="P6" s="1"/>
      <c r="Q6" s="1"/>
      <c r="R6" s="1"/>
      <c r="S6" s="1"/>
      <c r="T6" s="1"/>
      <c r="U6" s="1"/>
      <c r="V6" s="1"/>
    </row>
    <row r="7" spans="1:23">
      <c r="A7" s="1"/>
      <c r="B7" s="21" t="s">
        <v>5</v>
      </c>
      <c r="C7" s="28" t="s">
        <v>6</v>
      </c>
      <c r="D7" s="29" t="s">
        <v>7</v>
      </c>
      <c r="E7" s="30"/>
      <c r="F7" s="30"/>
      <c r="G7" s="29" t="s">
        <v>8</v>
      </c>
      <c r="H7" s="30"/>
      <c r="I7" s="29" t="s">
        <v>9</v>
      </c>
      <c r="J7" s="30"/>
      <c r="K7" s="29" t="s">
        <v>10</v>
      </c>
      <c r="L7" s="30"/>
      <c r="M7" s="20" t="s">
        <v>11</v>
      </c>
      <c r="N7" s="4" t="s">
        <v>12</v>
      </c>
      <c r="O7" s="1"/>
      <c r="P7" s="1"/>
      <c r="Q7" s="1"/>
      <c r="R7" s="1"/>
      <c r="S7" s="1"/>
      <c r="T7" s="1"/>
      <c r="U7" s="1"/>
      <c r="V7" s="1"/>
    </row>
    <row r="8" spans="1:23">
      <c r="A8" s="1"/>
      <c r="B8" s="21"/>
      <c r="C8" s="28"/>
      <c r="D8" s="5" t="s">
        <v>13</v>
      </c>
      <c r="E8" s="5" t="s">
        <v>14</v>
      </c>
      <c r="F8" s="5" t="s">
        <v>15</v>
      </c>
      <c r="G8" s="5" t="s">
        <v>13</v>
      </c>
      <c r="H8" s="5" t="s">
        <v>14</v>
      </c>
      <c r="I8" s="5" t="s">
        <v>13</v>
      </c>
      <c r="J8" s="5" t="s">
        <v>14</v>
      </c>
      <c r="K8" s="5" t="s">
        <v>13</v>
      </c>
      <c r="L8" s="5" t="s">
        <v>14</v>
      </c>
      <c r="M8" s="21"/>
      <c r="N8" s="4"/>
      <c r="O8" s="1"/>
      <c r="P8" s="1"/>
      <c r="Q8" s="1"/>
      <c r="R8" s="1"/>
      <c r="S8" s="1"/>
      <c r="T8" s="1"/>
      <c r="U8" s="1"/>
      <c r="V8" s="1"/>
    </row>
    <row r="9" spans="1:23" ht="21.95" customHeight="1">
      <c r="A9" s="1"/>
      <c r="B9" s="6">
        <v>1</v>
      </c>
      <c r="C9" s="18">
        <v>160923733121</v>
      </c>
      <c r="D9" s="7">
        <v>2</v>
      </c>
      <c r="E9" s="8">
        <v>2</v>
      </c>
      <c r="F9" s="8">
        <v>0.5</v>
      </c>
      <c r="G9" s="8">
        <v>2</v>
      </c>
      <c r="H9" s="8"/>
      <c r="I9" s="8">
        <v>5</v>
      </c>
      <c r="J9" s="8"/>
      <c r="K9" s="8"/>
      <c r="L9" s="8"/>
      <c r="M9" s="9">
        <f>SUM(D9:L9)</f>
        <v>11.5</v>
      </c>
      <c r="N9" s="10" t="str">
        <f>IF(M9&lt;8,"F","P")</f>
        <v>P</v>
      </c>
      <c r="O9" s="1"/>
      <c r="P9" s="11">
        <f>SUM(LARGE(R9:T9,{1,2}))</f>
        <v>7</v>
      </c>
      <c r="Q9" s="1"/>
      <c r="R9" s="12">
        <f t="shared" ref="R9:R85" si="0">SUM(G9:H9)</f>
        <v>2</v>
      </c>
      <c r="S9" s="12">
        <f t="shared" ref="S9:S85" si="1">SUM(I9:J9)</f>
        <v>5</v>
      </c>
      <c r="T9" s="12">
        <f t="shared" ref="T9:T85" si="2">SUM(K9:L9)</f>
        <v>0</v>
      </c>
      <c r="U9" s="1"/>
      <c r="V9" s="1"/>
      <c r="W9" s="48" t="s">
        <v>33</v>
      </c>
    </row>
    <row r="10" spans="1:23" ht="21.95" customHeight="1">
      <c r="A10" s="1"/>
      <c r="B10" s="13">
        <v>2</v>
      </c>
      <c r="C10" s="18">
        <v>160923733122</v>
      </c>
      <c r="D10" s="7">
        <v>2</v>
      </c>
      <c r="E10" s="8">
        <v>1.5</v>
      </c>
      <c r="F10" s="8">
        <v>0.5</v>
      </c>
      <c r="G10" s="8">
        <v>3</v>
      </c>
      <c r="H10" s="8">
        <v>1</v>
      </c>
      <c r="I10" s="8">
        <v>6</v>
      </c>
      <c r="J10" s="8"/>
      <c r="K10" s="8"/>
      <c r="L10" s="8"/>
      <c r="M10" s="9">
        <f t="shared" ref="M10:M72" si="3">SUM(D10:L10)</f>
        <v>14</v>
      </c>
      <c r="N10" s="10" t="str">
        <f t="shared" ref="N10:N38" si="4">IF(M10&lt;8,"F","P")</f>
        <v>P</v>
      </c>
      <c r="O10" s="1"/>
      <c r="P10" s="11">
        <f>SUM(LARGE(R10:T10,{1,2}))</f>
        <v>10</v>
      </c>
      <c r="Q10" s="1"/>
      <c r="R10" s="12">
        <f t="shared" si="0"/>
        <v>4</v>
      </c>
      <c r="S10" s="12">
        <f t="shared" si="1"/>
        <v>6</v>
      </c>
      <c r="T10" s="12">
        <f t="shared" si="2"/>
        <v>0</v>
      </c>
      <c r="U10" s="1"/>
      <c r="V10" s="1"/>
      <c r="W10" s="48" t="s">
        <v>34</v>
      </c>
    </row>
    <row r="11" spans="1:23" ht="21.95" customHeight="1">
      <c r="A11" s="1"/>
      <c r="B11" s="6">
        <v>3</v>
      </c>
      <c r="C11" s="18">
        <v>160923733123</v>
      </c>
      <c r="D11" s="7">
        <v>1.5</v>
      </c>
      <c r="E11" s="8">
        <v>2</v>
      </c>
      <c r="F11" s="8">
        <v>1</v>
      </c>
      <c r="G11" s="8">
        <v>3</v>
      </c>
      <c r="H11" s="8">
        <v>1</v>
      </c>
      <c r="I11" s="8">
        <v>4.5</v>
      </c>
      <c r="J11" s="8"/>
      <c r="K11" s="8"/>
      <c r="L11" s="8"/>
      <c r="M11" s="9">
        <f t="shared" si="3"/>
        <v>13</v>
      </c>
      <c r="N11" s="10" t="str">
        <f t="shared" si="4"/>
        <v>P</v>
      </c>
      <c r="O11" s="1"/>
      <c r="P11" s="11">
        <f>SUM(LARGE(R11:T11,{1,2}))</f>
        <v>8.5</v>
      </c>
      <c r="Q11" s="1"/>
      <c r="R11" s="12">
        <f t="shared" si="0"/>
        <v>4</v>
      </c>
      <c r="S11" s="12">
        <f t="shared" si="1"/>
        <v>4.5</v>
      </c>
      <c r="T11" s="12">
        <f t="shared" si="2"/>
        <v>0</v>
      </c>
      <c r="U11" s="1"/>
      <c r="V11" s="1"/>
      <c r="W11" s="48" t="s">
        <v>35</v>
      </c>
    </row>
    <row r="12" spans="1:23" ht="21.95" customHeight="1">
      <c r="A12" s="1"/>
      <c r="B12" s="13">
        <v>4</v>
      </c>
      <c r="C12" s="18">
        <v>160923733124</v>
      </c>
      <c r="D12" s="7">
        <v>2</v>
      </c>
      <c r="E12" s="8">
        <v>2</v>
      </c>
      <c r="F12" s="8">
        <v>0.5</v>
      </c>
      <c r="G12" s="8">
        <v>2</v>
      </c>
      <c r="H12" s="8"/>
      <c r="I12" s="8"/>
      <c r="J12" s="8"/>
      <c r="K12" s="8">
        <v>1</v>
      </c>
      <c r="L12" s="8"/>
      <c r="M12" s="9">
        <f t="shared" si="3"/>
        <v>7.5</v>
      </c>
      <c r="N12" s="10" t="str">
        <f t="shared" si="4"/>
        <v>F</v>
      </c>
      <c r="O12" s="1"/>
      <c r="P12" s="11">
        <f>SUM(LARGE(R12:T12,{1,2}))</f>
        <v>3</v>
      </c>
      <c r="Q12" s="1"/>
      <c r="R12" s="12">
        <f t="shared" si="0"/>
        <v>2</v>
      </c>
      <c r="S12" s="12">
        <f t="shared" si="1"/>
        <v>0</v>
      </c>
      <c r="T12" s="12">
        <f t="shared" si="2"/>
        <v>1</v>
      </c>
      <c r="U12" s="1"/>
      <c r="V12" s="1"/>
      <c r="W12" s="48" t="s">
        <v>36</v>
      </c>
    </row>
    <row r="13" spans="1:23" ht="21.95" customHeight="1">
      <c r="A13" s="1"/>
      <c r="B13" s="6">
        <v>5</v>
      </c>
      <c r="C13" s="18">
        <v>160923733125</v>
      </c>
      <c r="D13" s="7">
        <v>0.5</v>
      </c>
      <c r="E13" s="8"/>
      <c r="F13" s="8">
        <v>0.5</v>
      </c>
      <c r="G13" s="8">
        <v>2</v>
      </c>
      <c r="H13" s="8"/>
      <c r="I13" s="8"/>
      <c r="J13" s="8"/>
      <c r="K13" s="8"/>
      <c r="L13" s="8"/>
      <c r="M13" s="9">
        <f t="shared" si="3"/>
        <v>3</v>
      </c>
      <c r="N13" s="10" t="str">
        <f t="shared" si="4"/>
        <v>F</v>
      </c>
      <c r="O13" s="1"/>
      <c r="P13" s="11">
        <f>SUM(LARGE(R13:T13,{1,2}))</f>
        <v>2</v>
      </c>
      <c r="Q13" s="1"/>
      <c r="R13" s="12">
        <f t="shared" si="0"/>
        <v>2</v>
      </c>
      <c r="S13" s="12">
        <f t="shared" si="1"/>
        <v>0</v>
      </c>
      <c r="T13" s="12">
        <f t="shared" si="2"/>
        <v>0</v>
      </c>
      <c r="U13" s="1"/>
      <c r="V13" s="1"/>
      <c r="W13" s="48" t="s">
        <v>37</v>
      </c>
    </row>
    <row r="14" spans="1:23" ht="21.95" customHeight="1">
      <c r="A14" s="1"/>
      <c r="B14" s="13">
        <v>6</v>
      </c>
      <c r="C14" s="18">
        <v>160923733126</v>
      </c>
      <c r="D14" s="7">
        <v>2</v>
      </c>
      <c r="E14" s="8">
        <v>1</v>
      </c>
      <c r="F14" s="8">
        <v>1.5</v>
      </c>
      <c r="G14" s="8"/>
      <c r="H14" s="8"/>
      <c r="I14" s="8">
        <v>5</v>
      </c>
      <c r="J14" s="8"/>
      <c r="K14" s="8"/>
      <c r="L14" s="8"/>
      <c r="M14" s="9">
        <f t="shared" si="3"/>
        <v>9.5</v>
      </c>
      <c r="N14" s="10" t="str">
        <f t="shared" si="4"/>
        <v>P</v>
      </c>
      <c r="O14" s="1"/>
      <c r="P14" s="11">
        <f>SUM(LARGE(R14:T14,{1,2}))</f>
        <v>5</v>
      </c>
      <c r="Q14" s="1"/>
      <c r="R14" s="12">
        <f t="shared" si="0"/>
        <v>0</v>
      </c>
      <c r="S14" s="12">
        <f t="shared" si="1"/>
        <v>5</v>
      </c>
      <c r="T14" s="12">
        <f t="shared" si="2"/>
        <v>0</v>
      </c>
      <c r="U14" s="1"/>
      <c r="V14" s="1"/>
      <c r="W14" s="48" t="s">
        <v>38</v>
      </c>
    </row>
    <row r="15" spans="1:23" ht="21.95" customHeight="1">
      <c r="A15" s="1"/>
      <c r="B15" s="6">
        <v>7</v>
      </c>
      <c r="C15" s="18">
        <v>160923733127</v>
      </c>
      <c r="D15" s="7"/>
      <c r="E15" s="8"/>
      <c r="F15" s="8"/>
      <c r="G15" s="8">
        <v>2</v>
      </c>
      <c r="H15" s="8"/>
      <c r="I15" s="8">
        <v>3</v>
      </c>
      <c r="J15" s="8"/>
      <c r="K15" s="8"/>
      <c r="L15" s="8"/>
      <c r="M15" s="9">
        <f t="shared" si="3"/>
        <v>5</v>
      </c>
      <c r="N15" s="10" t="str">
        <f t="shared" si="4"/>
        <v>F</v>
      </c>
      <c r="O15" s="1"/>
      <c r="P15" s="11">
        <f>SUM(LARGE(R15:T15,{1,2}))</f>
        <v>5</v>
      </c>
      <c r="Q15" s="1"/>
      <c r="R15" s="12">
        <f t="shared" si="0"/>
        <v>2</v>
      </c>
      <c r="S15" s="12">
        <f t="shared" si="1"/>
        <v>3</v>
      </c>
      <c r="T15" s="12">
        <f t="shared" si="2"/>
        <v>0</v>
      </c>
      <c r="U15" s="1"/>
      <c r="V15" s="1"/>
      <c r="W15" s="48" t="s">
        <v>39</v>
      </c>
    </row>
    <row r="16" spans="1:23" ht="21.95" customHeight="1">
      <c r="A16" s="1"/>
      <c r="B16" s="13">
        <v>8</v>
      </c>
      <c r="C16" s="18">
        <v>160923733129</v>
      </c>
      <c r="D16" s="7"/>
      <c r="E16" s="8"/>
      <c r="F16" s="8"/>
      <c r="G16" s="8">
        <v>1</v>
      </c>
      <c r="H16" s="8"/>
      <c r="I16" s="8">
        <v>1</v>
      </c>
      <c r="J16" s="8"/>
      <c r="K16" s="8"/>
      <c r="L16" s="8"/>
      <c r="M16" s="9">
        <f t="shared" si="3"/>
        <v>2</v>
      </c>
      <c r="N16" s="10" t="str">
        <f t="shared" si="4"/>
        <v>F</v>
      </c>
      <c r="O16" s="1"/>
      <c r="P16" s="11">
        <f>SUM(LARGE(R16:T16,{1,2}))</f>
        <v>2</v>
      </c>
      <c r="Q16" s="1"/>
      <c r="R16" s="12">
        <f t="shared" si="0"/>
        <v>1</v>
      </c>
      <c r="S16" s="12">
        <f t="shared" si="1"/>
        <v>1</v>
      </c>
      <c r="T16" s="12">
        <f t="shared" si="2"/>
        <v>0</v>
      </c>
      <c r="U16" s="1"/>
      <c r="V16" s="1"/>
      <c r="W16" s="48" t="s">
        <v>40</v>
      </c>
    </row>
    <row r="17" spans="1:23" ht="21.95" customHeight="1">
      <c r="A17" s="1"/>
      <c r="B17" s="6">
        <v>9</v>
      </c>
      <c r="C17" s="18">
        <v>160923733130</v>
      </c>
      <c r="D17" s="7">
        <v>2</v>
      </c>
      <c r="E17" s="8">
        <v>2</v>
      </c>
      <c r="F17" s="8">
        <v>1.5</v>
      </c>
      <c r="G17" s="8">
        <v>2</v>
      </c>
      <c r="H17" s="8">
        <v>1</v>
      </c>
      <c r="I17" s="8">
        <v>6</v>
      </c>
      <c r="J17" s="8"/>
      <c r="K17" s="8"/>
      <c r="L17" s="8"/>
      <c r="M17" s="9">
        <f t="shared" si="3"/>
        <v>14.5</v>
      </c>
      <c r="N17" s="10" t="str">
        <f t="shared" si="4"/>
        <v>P</v>
      </c>
      <c r="O17" s="1"/>
      <c r="P17" s="11">
        <f>SUM(LARGE(R17:T17,{1,2}))</f>
        <v>9</v>
      </c>
      <c r="Q17" s="1"/>
      <c r="R17" s="12">
        <f t="shared" si="0"/>
        <v>3</v>
      </c>
      <c r="S17" s="12">
        <f t="shared" si="1"/>
        <v>6</v>
      </c>
      <c r="T17" s="12">
        <f t="shared" si="2"/>
        <v>0</v>
      </c>
      <c r="U17" s="1"/>
      <c r="V17" s="1"/>
      <c r="W17" s="48" t="s">
        <v>41</v>
      </c>
    </row>
    <row r="18" spans="1:23" ht="21.95" customHeight="1">
      <c r="A18" s="1"/>
      <c r="B18" s="13">
        <v>10</v>
      </c>
      <c r="C18" s="18">
        <v>160923733131</v>
      </c>
      <c r="D18" s="7">
        <v>1</v>
      </c>
      <c r="E18" s="8">
        <v>1</v>
      </c>
      <c r="F18" s="8"/>
      <c r="G18" s="8"/>
      <c r="H18" s="8"/>
      <c r="I18" s="8">
        <v>2.5</v>
      </c>
      <c r="J18" s="8"/>
      <c r="K18" s="8">
        <v>1.5</v>
      </c>
      <c r="L18" s="8"/>
      <c r="M18" s="9">
        <f t="shared" si="3"/>
        <v>6</v>
      </c>
      <c r="N18" s="10" t="str">
        <f t="shared" si="4"/>
        <v>F</v>
      </c>
      <c r="O18" s="1"/>
      <c r="P18" s="11">
        <f>SUM(LARGE(R18:T18,{1,2}))</f>
        <v>4</v>
      </c>
      <c r="Q18" s="1"/>
      <c r="R18" s="12">
        <f t="shared" si="0"/>
        <v>0</v>
      </c>
      <c r="S18" s="12">
        <f t="shared" si="1"/>
        <v>2.5</v>
      </c>
      <c r="T18" s="12">
        <f t="shared" si="2"/>
        <v>1.5</v>
      </c>
      <c r="U18" s="1"/>
      <c r="V18" s="1"/>
      <c r="W18" s="48" t="s">
        <v>42</v>
      </c>
    </row>
    <row r="19" spans="1:23" ht="21.95" customHeight="1">
      <c r="A19" s="1"/>
      <c r="B19" s="6">
        <v>11</v>
      </c>
      <c r="C19" s="18">
        <v>160923733132</v>
      </c>
      <c r="D19" s="7"/>
      <c r="E19" s="8"/>
      <c r="F19" s="8"/>
      <c r="G19" s="8"/>
      <c r="H19" s="8"/>
      <c r="I19" s="8">
        <v>2</v>
      </c>
      <c r="J19" s="8"/>
      <c r="K19" s="8">
        <v>2</v>
      </c>
      <c r="L19" s="8"/>
      <c r="M19" s="9">
        <f t="shared" si="3"/>
        <v>4</v>
      </c>
      <c r="N19" s="10" t="str">
        <f t="shared" si="4"/>
        <v>F</v>
      </c>
      <c r="O19" s="1"/>
      <c r="P19" s="11">
        <f>SUM(LARGE(R19:T19,{1,2}))</f>
        <v>4</v>
      </c>
      <c r="Q19" s="1"/>
      <c r="R19" s="12">
        <f t="shared" si="0"/>
        <v>0</v>
      </c>
      <c r="S19" s="12">
        <f t="shared" si="1"/>
        <v>2</v>
      </c>
      <c r="T19" s="12">
        <f t="shared" si="2"/>
        <v>2</v>
      </c>
      <c r="U19" s="1"/>
      <c r="V19" s="1"/>
      <c r="W19" s="48" t="s">
        <v>43</v>
      </c>
    </row>
    <row r="20" spans="1:23" ht="21.95" customHeight="1">
      <c r="A20" s="1"/>
      <c r="B20" s="13">
        <v>12</v>
      </c>
      <c r="C20" s="18">
        <v>160923733133</v>
      </c>
      <c r="D20" s="7">
        <v>2</v>
      </c>
      <c r="E20" s="8">
        <v>1</v>
      </c>
      <c r="F20" s="8"/>
      <c r="G20" s="8">
        <v>2.5</v>
      </c>
      <c r="H20" s="8">
        <v>1</v>
      </c>
      <c r="I20" s="8">
        <v>6</v>
      </c>
      <c r="J20" s="8"/>
      <c r="K20" s="8"/>
      <c r="L20" s="8"/>
      <c r="M20" s="9">
        <f t="shared" si="3"/>
        <v>12.5</v>
      </c>
      <c r="N20" s="10" t="str">
        <f t="shared" si="4"/>
        <v>P</v>
      </c>
      <c r="O20" s="1"/>
      <c r="P20" s="11">
        <f>SUM(LARGE(R20:T20,{1,2}))</f>
        <v>9.5</v>
      </c>
      <c r="Q20" s="1"/>
      <c r="R20" s="12">
        <f t="shared" si="0"/>
        <v>3.5</v>
      </c>
      <c r="S20" s="12">
        <f t="shared" si="1"/>
        <v>6</v>
      </c>
      <c r="T20" s="12">
        <f t="shared" si="2"/>
        <v>0</v>
      </c>
      <c r="U20" s="1"/>
      <c r="V20" s="1"/>
      <c r="W20" s="48" t="s">
        <v>44</v>
      </c>
    </row>
    <row r="21" spans="1:23" ht="21.95" customHeight="1">
      <c r="A21" s="1"/>
      <c r="B21" s="6">
        <v>13</v>
      </c>
      <c r="C21" s="18">
        <v>160923733134</v>
      </c>
      <c r="D21" s="7">
        <v>0.5</v>
      </c>
      <c r="E21" s="8"/>
      <c r="F21" s="8"/>
      <c r="G21" s="8">
        <v>3</v>
      </c>
      <c r="H21" s="8"/>
      <c r="I21" s="8"/>
      <c r="J21" s="8"/>
      <c r="K21" s="8">
        <v>2</v>
      </c>
      <c r="L21" s="8"/>
      <c r="M21" s="9">
        <f t="shared" si="3"/>
        <v>5.5</v>
      </c>
      <c r="N21" s="10" t="str">
        <f t="shared" si="4"/>
        <v>F</v>
      </c>
      <c r="O21" s="1"/>
      <c r="P21" s="11">
        <f>SUM(LARGE(R21:T21,{1,2}))</f>
        <v>5</v>
      </c>
      <c r="Q21" s="1"/>
      <c r="R21" s="12">
        <f t="shared" si="0"/>
        <v>3</v>
      </c>
      <c r="S21" s="12">
        <f t="shared" si="1"/>
        <v>0</v>
      </c>
      <c r="T21" s="12">
        <f t="shared" si="2"/>
        <v>2</v>
      </c>
      <c r="U21" s="1"/>
      <c r="V21" s="1"/>
      <c r="W21" s="48" t="s">
        <v>45</v>
      </c>
    </row>
    <row r="22" spans="1:23" ht="21.95" customHeight="1">
      <c r="A22" s="1"/>
      <c r="B22" s="13">
        <v>14</v>
      </c>
      <c r="C22" s="18">
        <v>160923733135</v>
      </c>
      <c r="D22" s="7">
        <v>2</v>
      </c>
      <c r="E22" s="8">
        <v>2</v>
      </c>
      <c r="F22" s="8">
        <v>0.5</v>
      </c>
      <c r="G22" s="8"/>
      <c r="H22" s="8"/>
      <c r="I22" s="8">
        <v>1</v>
      </c>
      <c r="J22" s="8"/>
      <c r="K22" s="8">
        <v>0.5</v>
      </c>
      <c r="L22" s="8"/>
      <c r="M22" s="9">
        <f t="shared" si="3"/>
        <v>6</v>
      </c>
      <c r="N22" s="10" t="str">
        <f t="shared" si="4"/>
        <v>F</v>
      </c>
      <c r="O22" s="1"/>
      <c r="P22" s="11">
        <f>SUM(LARGE(R22:T22,{1,2}))</f>
        <v>1.5</v>
      </c>
      <c r="Q22" s="1"/>
      <c r="R22" s="12">
        <f t="shared" si="0"/>
        <v>0</v>
      </c>
      <c r="S22" s="12">
        <f t="shared" si="1"/>
        <v>1</v>
      </c>
      <c r="T22" s="12">
        <f t="shared" si="2"/>
        <v>0.5</v>
      </c>
      <c r="U22" s="1"/>
      <c r="V22" s="1"/>
      <c r="W22" s="48" t="s">
        <v>46</v>
      </c>
    </row>
    <row r="23" spans="1:23" ht="21.95" customHeight="1">
      <c r="A23" s="1"/>
      <c r="B23" s="6">
        <v>15</v>
      </c>
      <c r="C23" s="18">
        <v>160923733136</v>
      </c>
      <c r="D23" s="7">
        <v>1.5</v>
      </c>
      <c r="E23" s="8"/>
      <c r="F23" s="8"/>
      <c r="G23" s="8">
        <v>2</v>
      </c>
      <c r="H23" s="8"/>
      <c r="I23" s="8">
        <v>4.5</v>
      </c>
      <c r="J23" s="8"/>
      <c r="K23" s="8"/>
      <c r="L23" s="8"/>
      <c r="M23" s="9">
        <f t="shared" si="3"/>
        <v>8</v>
      </c>
      <c r="N23" s="10" t="str">
        <f t="shared" si="4"/>
        <v>P</v>
      </c>
      <c r="O23" s="1"/>
      <c r="P23" s="11">
        <f>SUM(LARGE(R23:T23,{1,2}))</f>
        <v>6.5</v>
      </c>
      <c r="Q23" s="1"/>
      <c r="R23" s="12">
        <f t="shared" si="0"/>
        <v>2</v>
      </c>
      <c r="S23" s="12">
        <f t="shared" si="1"/>
        <v>4.5</v>
      </c>
      <c r="T23" s="12">
        <f t="shared" si="2"/>
        <v>0</v>
      </c>
      <c r="U23" s="1"/>
      <c r="V23" s="1"/>
      <c r="W23" s="48" t="s">
        <v>47</v>
      </c>
    </row>
    <row r="24" spans="1:23" ht="21.95" customHeight="1">
      <c r="A24" s="1"/>
      <c r="B24" s="13">
        <v>16</v>
      </c>
      <c r="C24" s="18">
        <v>160923733137</v>
      </c>
      <c r="D24" s="7">
        <v>1</v>
      </c>
      <c r="E24" s="8"/>
      <c r="F24" s="8"/>
      <c r="G24" s="8">
        <v>3</v>
      </c>
      <c r="H24" s="8"/>
      <c r="I24" s="8">
        <v>1</v>
      </c>
      <c r="J24" s="8"/>
      <c r="K24" s="8"/>
      <c r="L24" s="8"/>
      <c r="M24" s="9">
        <f t="shared" si="3"/>
        <v>5</v>
      </c>
      <c r="N24" s="10" t="str">
        <f t="shared" si="4"/>
        <v>F</v>
      </c>
      <c r="O24" s="1"/>
      <c r="P24" s="11">
        <f>SUM(LARGE(R24:T24,{1,2}))</f>
        <v>4</v>
      </c>
      <c r="Q24" s="1"/>
      <c r="R24" s="12">
        <f t="shared" si="0"/>
        <v>3</v>
      </c>
      <c r="S24" s="12">
        <f t="shared" si="1"/>
        <v>1</v>
      </c>
      <c r="T24" s="12">
        <f t="shared" si="2"/>
        <v>0</v>
      </c>
      <c r="U24" s="1"/>
      <c r="V24" s="1"/>
      <c r="W24" s="48" t="s">
        <v>48</v>
      </c>
    </row>
    <row r="25" spans="1:23" ht="21.95" customHeight="1">
      <c r="A25" s="1"/>
      <c r="B25" s="6">
        <v>17</v>
      </c>
      <c r="C25" s="18">
        <v>160923733138</v>
      </c>
      <c r="D25" s="7">
        <v>1</v>
      </c>
      <c r="E25" s="8"/>
      <c r="F25" s="8"/>
      <c r="G25" s="8">
        <v>2</v>
      </c>
      <c r="H25" s="8"/>
      <c r="I25" s="8"/>
      <c r="J25" s="8"/>
      <c r="K25" s="8">
        <v>1.5</v>
      </c>
      <c r="L25" s="8"/>
      <c r="M25" s="9">
        <f t="shared" si="3"/>
        <v>4.5</v>
      </c>
      <c r="N25" s="10" t="str">
        <f t="shared" si="4"/>
        <v>F</v>
      </c>
      <c r="O25" s="1"/>
      <c r="P25" s="11">
        <f>SUM(LARGE(R25:T25,{1,2}))</f>
        <v>3.5</v>
      </c>
      <c r="Q25" s="1"/>
      <c r="R25" s="12">
        <f t="shared" si="0"/>
        <v>2</v>
      </c>
      <c r="S25" s="12">
        <f t="shared" si="1"/>
        <v>0</v>
      </c>
      <c r="T25" s="12">
        <f t="shared" si="2"/>
        <v>1.5</v>
      </c>
      <c r="U25" s="1"/>
      <c r="V25" s="1"/>
      <c r="W25" s="48" t="s">
        <v>49</v>
      </c>
    </row>
    <row r="26" spans="1:23" ht="21.95" customHeight="1">
      <c r="A26" s="1"/>
      <c r="B26" s="13">
        <v>18</v>
      </c>
      <c r="C26" s="18">
        <v>160923733139</v>
      </c>
      <c r="D26" s="7">
        <v>1</v>
      </c>
      <c r="E26" s="8"/>
      <c r="F26" s="8"/>
      <c r="G26" s="8"/>
      <c r="H26" s="8"/>
      <c r="I26" s="8"/>
      <c r="J26" s="8"/>
      <c r="K26" s="8">
        <v>0.5</v>
      </c>
      <c r="L26" s="8"/>
      <c r="M26" s="9">
        <f t="shared" si="3"/>
        <v>1.5</v>
      </c>
      <c r="N26" s="10" t="str">
        <f t="shared" si="4"/>
        <v>F</v>
      </c>
      <c r="O26" s="1"/>
      <c r="P26" s="11">
        <f>SUM(LARGE(R26:T26,{1,2}))</f>
        <v>0.5</v>
      </c>
      <c r="Q26" s="1"/>
      <c r="R26" s="12">
        <f t="shared" si="0"/>
        <v>0</v>
      </c>
      <c r="S26" s="12">
        <f t="shared" si="1"/>
        <v>0</v>
      </c>
      <c r="T26" s="12">
        <f t="shared" si="2"/>
        <v>0.5</v>
      </c>
      <c r="U26" s="1"/>
      <c r="V26" s="1"/>
      <c r="W26" s="48" t="s">
        <v>50</v>
      </c>
    </row>
    <row r="27" spans="1:23" ht="21.95" customHeight="1">
      <c r="A27" s="1"/>
      <c r="B27" s="6">
        <v>19</v>
      </c>
      <c r="C27" s="18">
        <v>160923733140</v>
      </c>
      <c r="D27" s="7">
        <v>1</v>
      </c>
      <c r="E27" s="8">
        <v>0.5</v>
      </c>
      <c r="F27" s="8"/>
      <c r="G27" s="8"/>
      <c r="H27" s="8"/>
      <c r="I27" s="8"/>
      <c r="J27" s="8"/>
      <c r="K27" s="8">
        <v>0.5</v>
      </c>
      <c r="L27" s="8"/>
      <c r="M27" s="9">
        <f t="shared" si="3"/>
        <v>2</v>
      </c>
      <c r="N27" s="10" t="str">
        <f t="shared" si="4"/>
        <v>F</v>
      </c>
      <c r="O27" s="1"/>
      <c r="P27" s="11">
        <f>SUM(LARGE(R27:T27,{1,2}))</f>
        <v>0.5</v>
      </c>
      <c r="Q27" s="1"/>
      <c r="R27" s="12">
        <f t="shared" si="0"/>
        <v>0</v>
      </c>
      <c r="S27" s="12">
        <f t="shared" si="1"/>
        <v>0</v>
      </c>
      <c r="T27" s="12">
        <f t="shared" si="2"/>
        <v>0.5</v>
      </c>
      <c r="U27" s="1"/>
      <c r="V27" s="1"/>
      <c r="W27" s="48" t="s">
        <v>51</v>
      </c>
    </row>
    <row r="28" spans="1:23" ht="21.95" customHeight="1">
      <c r="A28" s="1"/>
      <c r="B28" s="13">
        <v>20</v>
      </c>
      <c r="C28" s="18">
        <v>160923733141</v>
      </c>
      <c r="D28" s="7"/>
      <c r="E28" s="8"/>
      <c r="F28" s="8"/>
      <c r="G28" s="8">
        <v>2</v>
      </c>
      <c r="H28" s="8"/>
      <c r="I28" s="8">
        <v>5</v>
      </c>
      <c r="J28" s="8"/>
      <c r="K28" s="8"/>
      <c r="L28" s="8"/>
      <c r="M28" s="9">
        <f t="shared" si="3"/>
        <v>7</v>
      </c>
      <c r="N28" s="10" t="str">
        <f t="shared" si="4"/>
        <v>F</v>
      </c>
      <c r="O28" s="1"/>
      <c r="P28" s="11">
        <f>SUM(LARGE(R28:T28,{1,2}))</f>
        <v>7</v>
      </c>
      <c r="Q28" s="1"/>
      <c r="R28" s="12">
        <f t="shared" si="0"/>
        <v>2</v>
      </c>
      <c r="S28" s="12">
        <f t="shared" si="1"/>
        <v>5</v>
      </c>
      <c r="T28" s="12">
        <f t="shared" si="2"/>
        <v>0</v>
      </c>
      <c r="U28" s="1"/>
      <c r="V28" s="1"/>
      <c r="W28" s="48" t="s">
        <v>52</v>
      </c>
    </row>
    <row r="29" spans="1:23" ht="21.95" customHeight="1">
      <c r="A29" s="1"/>
      <c r="B29" s="6">
        <v>21</v>
      </c>
      <c r="C29" s="18">
        <v>160923733142</v>
      </c>
      <c r="D29" s="7"/>
      <c r="E29" s="8"/>
      <c r="F29" s="8">
        <v>0.5</v>
      </c>
      <c r="G29" s="8">
        <v>2</v>
      </c>
      <c r="H29" s="8"/>
      <c r="I29" s="8"/>
      <c r="J29" s="8"/>
      <c r="K29" s="8">
        <v>1</v>
      </c>
      <c r="L29" s="8"/>
      <c r="M29" s="9">
        <f t="shared" si="3"/>
        <v>3.5</v>
      </c>
      <c r="N29" s="10" t="str">
        <f t="shared" si="4"/>
        <v>F</v>
      </c>
      <c r="O29" s="1"/>
      <c r="P29" s="11">
        <f>SUM(LARGE(R29:T29,{1,2}))</f>
        <v>3</v>
      </c>
      <c r="Q29" s="1"/>
      <c r="R29" s="12">
        <f t="shared" si="0"/>
        <v>2</v>
      </c>
      <c r="S29" s="12">
        <f t="shared" si="1"/>
        <v>0</v>
      </c>
      <c r="T29" s="12">
        <f t="shared" si="2"/>
        <v>1</v>
      </c>
      <c r="U29" s="1"/>
      <c r="V29" s="1"/>
      <c r="W29" s="48" t="s">
        <v>53</v>
      </c>
    </row>
    <row r="30" spans="1:23" ht="21.95" customHeight="1">
      <c r="A30" s="1"/>
      <c r="B30" s="13">
        <v>22</v>
      </c>
      <c r="C30" s="18">
        <v>160923733143</v>
      </c>
      <c r="D30" s="7"/>
      <c r="E30" s="8">
        <v>2</v>
      </c>
      <c r="F30" s="8"/>
      <c r="G30" s="8">
        <v>3</v>
      </c>
      <c r="H30" s="8"/>
      <c r="I30" s="8"/>
      <c r="J30" s="8"/>
      <c r="K30" s="8">
        <v>1</v>
      </c>
      <c r="L30" s="8"/>
      <c r="M30" s="9">
        <f t="shared" si="3"/>
        <v>6</v>
      </c>
      <c r="N30" s="10" t="str">
        <f t="shared" si="4"/>
        <v>F</v>
      </c>
      <c r="O30" s="1"/>
      <c r="P30" s="11">
        <f>SUM(LARGE(R30:T30,{1,2}))</f>
        <v>4</v>
      </c>
      <c r="Q30" s="1"/>
      <c r="R30" s="12">
        <f t="shared" si="0"/>
        <v>3</v>
      </c>
      <c r="S30" s="12">
        <f t="shared" si="1"/>
        <v>0</v>
      </c>
      <c r="T30" s="12">
        <f t="shared" si="2"/>
        <v>1</v>
      </c>
      <c r="U30" s="1"/>
      <c r="V30" s="1"/>
      <c r="W30" s="48" t="s">
        <v>54</v>
      </c>
    </row>
    <row r="31" spans="1:23" ht="21.95" customHeight="1">
      <c r="A31" s="1"/>
      <c r="B31" s="6">
        <v>23</v>
      </c>
      <c r="C31" s="18">
        <v>160923733144</v>
      </c>
      <c r="D31" s="7"/>
      <c r="E31" s="8">
        <v>1.5</v>
      </c>
      <c r="F31" s="8"/>
      <c r="G31" s="8">
        <v>2</v>
      </c>
      <c r="H31" s="8"/>
      <c r="I31" s="8">
        <v>4</v>
      </c>
      <c r="J31" s="8"/>
      <c r="K31" s="8"/>
      <c r="L31" s="8"/>
      <c r="M31" s="9">
        <f t="shared" si="3"/>
        <v>7.5</v>
      </c>
      <c r="N31" s="10" t="str">
        <f t="shared" si="4"/>
        <v>F</v>
      </c>
      <c r="O31" s="1"/>
      <c r="P31" s="11">
        <f>SUM(LARGE(R31:T31,{1,2}))</f>
        <v>6</v>
      </c>
      <c r="Q31" s="1"/>
      <c r="R31" s="12">
        <f t="shared" si="0"/>
        <v>2</v>
      </c>
      <c r="S31" s="12">
        <f t="shared" si="1"/>
        <v>4</v>
      </c>
      <c r="T31" s="12">
        <f t="shared" si="2"/>
        <v>0</v>
      </c>
      <c r="U31" s="1"/>
      <c r="V31" s="1"/>
      <c r="W31" s="48" t="s">
        <v>55</v>
      </c>
    </row>
    <row r="32" spans="1:23" ht="21.95" customHeight="1">
      <c r="A32" s="1"/>
      <c r="B32" s="13">
        <v>24</v>
      </c>
      <c r="C32" s="18">
        <v>160923733145</v>
      </c>
      <c r="D32" s="7"/>
      <c r="E32" s="8">
        <v>2</v>
      </c>
      <c r="F32" s="8">
        <v>0.5</v>
      </c>
      <c r="G32" s="8">
        <v>3</v>
      </c>
      <c r="H32" s="8"/>
      <c r="I32" s="8">
        <v>3</v>
      </c>
      <c r="J32" s="8"/>
      <c r="K32" s="8"/>
      <c r="L32" s="8"/>
      <c r="M32" s="9">
        <f t="shared" si="3"/>
        <v>8.5</v>
      </c>
      <c r="N32" s="10" t="str">
        <f t="shared" si="4"/>
        <v>P</v>
      </c>
      <c r="O32" s="1"/>
      <c r="P32" s="11">
        <f>SUM(LARGE(R32:T32,{1,2}))</f>
        <v>6</v>
      </c>
      <c r="Q32" s="1"/>
      <c r="R32" s="12">
        <f t="shared" si="0"/>
        <v>3</v>
      </c>
      <c r="S32" s="12">
        <f t="shared" si="1"/>
        <v>3</v>
      </c>
      <c r="T32" s="12">
        <f t="shared" si="2"/>
        <v>0</v>
      </c>
      <c r="U32" s="1"/>
      <c r="V32" s="1"/>
      <c r="W32" s="48" t="s">
        <v>56</v>
      </c>
    </row>
    <row r="33" spans="1:23" ht="21.95" customHeight="1">
      <c r="A33" s="1"/>
      <c r="B33" s="6">
        <v>25</v>
      </c>
      <c r="C33" s="18">
        <v>160923733146</v>
      </c>
      <c r="D33" s="7" t="s">
        <v>31</v>
      </c>
      <c r="E33" s="7" t="s">
        <v>31</v>
      </c>
      <c r="F33" s="7" t="s">
        <v>31</v>
      </c>
      <c r="G33" s="7" t="s">
        <v>31</v>
      </c>
      <c r="H33" s="7" t="s">
        <v>31</v>
      </c>
      <c r="I33" s="7" t="s">
        <v>31</v>
      </c>
      <c r="J33" s="7" t="s">
        <v>31</v>
      </c>
      <c r="K33" s="7" t="s">
        <v>31</v>
      </c>
      <c r="L33" s="7" t="s">
        <v>31</v>
      </c>
      <c r="M33" s="7" t="s">
        <v>31</v>
      </c>
      <c r="N33" s="7" t="s">
        <v>31</v>
      </c>
      <c r="O33" s="7" t="s">
        <v>31</v>
      </c>
      <c r="P33" s="7" t="s">
        <v>31</v>
      </c>
      <c r="Q33" s="7" t="s">
        <v>31</v>
      </c>
      <c r="R33" s="7" t="s">
        <v>31</v>
      </c>
      <c r="S33" s="7" t="s">
        <v>31</v>
      </c>
      <c r="T33" s="7" t="s">
        <v>31</v>
      </c>
      <c r="U33" s="7" t="s">
        <v>31</v>
      </c>
      <c r="V33" s="7" t="s">
        <v>31</v>
      </c>
      <c r="W33" s="48" t="s">
        <v>57</v>
      </c>
    </row>
    <row r="34" spans="1:23" ht="21.95" customHeight="1">
      <c r="A34" s="1"/>
      <c r="B34" s="13">
        <v>26</v>
      </c>
      <c r="C34" s="18">
        <v>160923733147</v>
      </c>
      <c r="D34" s="7"/>
      <c r="E34" s="8"/>
      <c r="F34" s="8"/>
      <c r="G34" s="8">
        <v>2.5</v>
      </c>
      <c r="H34" s="8"/>
      <c r="I34" s="8">
        <v>3</v>
      </c>
      <c r="J34" s="8"/>
      <c r="K34" s="8"/>
      <c r="L34" s="8"/>
      <c r="M34" s="9">
        <f t="shared" si="3"/>
        <v>5.5</v>
      </c>
      <c r="N34" s="10" t="str">
        <f t="shared" si="4"/>
        <v>F</v>
      </c>
      <c r="O34" s="1"/>
      <c r="P34" s="11">
        <f>SUM(LARGE(R34:T34,{1,2}))</f>
        <v>5.5</v>
      </c>
      <c r="Q34" s="1"/>
      <c r="R34" s="12">
        <f t="shared" si="0"/>
        <v>2.5</v>
      </c>
      <c r="S34" s="12">
        <f t="shared" si="1"/>
        <v>3</v>
      </c>
      <c r="T34" s="12">
        <f t="shared" si="2"/>
        <v>0</v>
      </c>
      <c r="U34" s="1"/>
      <c r="V34" s="1"/>
      <c r="W34" s="48" t="s">
        <v>58</v>
      </c>
    </row>
    <row r="35" spans="1:23" ht="21.95" customHeight="1">
      <c r="A35" s="1"/>
      <c r="B35" s="6">
        <v>27</v>
      </c>
      <c r="C35" s="18">
        <v>160923733148</v>
      </c>
      <c r="D35" s="7"/>
      <c r="E35" s="8"/>
      <c r="F35" s="8">
        <v>1.5</v>
      </c>
      <c r="G35" s="8">
        <v>0.5</v>
      </c>
      <c r="H35" s="8">
        <v>2</v>
      </c>
      <c r="I35" s="8">
        <v>3.5</v>
      </c>
      <c r="J35" s="8"/>
      <c r="K35" s="8"/>
      <c r="L35" s="8"/>
      <c r="M35" s="9">
        <f t="shared" si="3"/>
        <v>7.5</v>
      </c>
      <c r="N35" s="10" t="str">
        <f t="shared" si="4"/>
        <v>F</v>
      </c>
      <c r="O35" s="1"/>
      <c r="P35" s="11">
        <f>SUM(LARGE(R35:T35,{1,2}))</f>
        <v>6</v>
      </c>
      <c r="Q35" s="1"/>
      <c r="R35" s="12">
        <f t="shared" si="0"/>
        <v>2.5</v>
      </c>
      <c r="S35" s="12">
        <f t="shared" si="1"/>
        <v>3.5</v>
      </c>
      <c r="T35" s="12">
        <f t="shared" si="2"/>
        <v>0</v>
      </c>
      <c r="U35" s="1"/>
      <c r="V35" s="1"/>
      <c r="W35" s="48" t="s">
        <v>59</v>
      </c>
    </row>
    <row r="36" spans="1:23" ht="21.95" customHeight="1">
      <c r="A36" s="1"/>
      <c r="B36" s="13">
        <v>28</v>
      </c>
      <c r="C36" s="18">
        <v>160923733149</v>
      </c>
      <c r="D36" s="7"/>
      <c r="E36" s="8">
        <v>1.5</v>
      </c>
      <c r="F36" s="8">
        <v>0.5</v>
      </c>
      <c r="G36" s="8"/>
      <c r="H36" s="8"/>
      <c r="I36" s="8">
        <v>4</v>
      </c>
      <c r="J36" s="8"/>
      <c r="K36" s="8">
        <v>1.5</v>
      </c>
      <c r="L36" s="8"/>
      <c r="M36" s="9">
        <f t="shared" si="3"/>
        <v>7.5</v>
      </c>
      <c r="N36" s="10" t="str">
        <f t="shared" si="4"/>
        <v>F</v>
      </c>
      <c r="O36" s="1"/>
      <c r="P36" s="11">
        <f>SUM(LARGE(R36:T36,{1,2}))</f>
        <v>5.5</v>
      </c>
      <c r="Q36" s="1"/>
      <c r="R36" s="12">
        <f t="shared" si="0"/>
        <v>0</v>
      </c>
      <c r="S36" s="12">
        <f t="shared" si="1"/>
        <v>4</v>
      </c>
      <c r="T36" s="12">
        <f t="shared" si="2"/>
        <v>1.5</v>
      </c>
      <c r="U36" s="1"/>
      <c r="V36" s="1"/>
      <c r="W36" s="48" t="s">
        <v>60</v>
      </c>
    </row>
    <row r="37" spans="1:23" ht="21.95" customHeight="1">
      <c r="A37" s="1"/>
      <c r="B37" s="6">
        <v>29</v>
      </c>
      <c r="C37" s="18">
        <v>160923733150</v>
      </c>
      <c r="D37" s="14"/>
      <c r="E37" s="15">
        <v>2</v>
      </c>
      <c r="F37" s="15"/>
      <c r="G37" s="15">
        <v>3</v>
      </c>
      <c r="H37" s="15"/>
      <c r="I37" s="15">
        <v>4</v>
      </c>
      <c r="J37" s="15"/>
      <c r="K37" s="15"/>
      <c r="L37" s="15"/>
      <c r="M37" s="9">
        <f t="shared" si="3"/>
        <v>9</v>
      </c>
      <c r="N37" s="10" t="str">
        <f t="shared" si="4"/>
        <v>P</v>
      </c>
      <c r="O37" s="1"/>
      <c r="P37" s="11">
        <f>SUM(LARGE(R37:T37,{1,2}))</f>
        <v>7</v>
      </c>
      <c r="Q37" s="1"/>
      <c r="R37" s="12">
        <f t="shared" si="0"/>
        <v>3</v>
      </c>
      <c r="S37" s="12">
        <f t="shared" si="1"/>
        <v>4</v>
      </c>
      <c r="T37" s="12">
        <f t="shared" si="2"/>
        <v>0</v>
      </c>
      <c r="U37" s="1"/>
      <c r="V37" s="1"/>
      <c r="W37" s="48" t="s">
        <v>61</v>
      </c>
    </row>
    <row r="38" spans="1:23" ht="21.95" customHeight="1">
      <c r="A38" s="1"/>
      <c r="B38" s="13">
        <v>30</v>
      </c>
      <c r="C38" s="18">
        <v>160923733151</v>
      </c>
      <c r="D38" s="8"/>
      <c r="E38" s="8">
        <v>2</v>
      </c>
      <c r="F38" s="8">
        <v>1.5</v>
      </c>
      <c r="G38" s="8">
        <v>2</v>
      </c>
      <c r="H38" s="8"/>
      <c r="I38" s="8">
        <v>4</v>
      </c>
      <c r="J38" s="8"/>
      <c r="K38" s="8"/>
      <c r="L38" s="8"/>
      <c r="M38" s="9">
        <f t="shared" si="3"/>
        <v>9.5</v>
      </c>
      <c r="N38" s="17" t="str">
        <f t="shared" si="4"/>
        <v>P</v>
      </c>
      <c r="O38" s="1"/>
      <c r="P38" s="11">
        <f>SUM(LARGE(R38:T38,{1,2}))</f>
        <v>6</v>
      </c>
      <c r="Q38" s="1"/>
      <c r="R38" s="12">
        <f t="shared" si="0"/>
        <v>2</v>
      </c>
      <c r="S38" s="12">
        <f t="shared" si="1"/>
        <v>4</v>
      </c>
      <c r="T38" s="12">
        <f t="shared" si="2"/>
        <v>0</v>
      </c>
      <c r="U38" s="1"/>
      <c r="V38" s="1"/>
      <c r="W38" s="48" t="s">
        <v>62</v>
      </c>
    </row>
    <row r="39" spans="1:23" ht="21.95" customHeight="1">
      <c r="A39" s="1"/>
      <c r="B39" s="6">
        <v>31</v>
      </c>
      <c r="C39" s="18">
        <v>160923733152</v>
      </c>
      <c r="D39" s="10"/>
      <c r="E39" s="10">
        <v>2</v>
      </c>
      <c r="F39" s="10">
        <v>1</v>
      </c>
      <c r="G39" s="10">
        <v>2</v>
      </c>
      <c r="H39" s="10"/>
      <c r="I39" s="10">
        <v>4</v>
      </c>
      <c r="J39" s="10"/>
      <c r="K39" s="10"/>
      <c r="L39" s="10"/>
      <c r="M39" s="9">
        <f t="shared" si="3"/>
        <v>9</v>
      </c>
      <c r="N39" s="1"/>
      <c r="O39" s="1"/>
      <c r="P39" s="11">
        <f>SUM(LARGE(R39:T39,{1,2}))</f>
        <v>6</v>
      </c>
      <c r="Q39" s="1"/>
      <c r="R39" s="12">
        <f t="shared" si="0"/>
        <v>2</v>
      </c>
      <c r="S39" s="12">
        <f t="shared" si="1"/>
        <v>4</v>
      </c>
      <c r="T39" s="12">
        <f t="shared" si="2"/>
        <v>0</v>
      </c>
      <c r="U39" s="1"/>
      <c r="V39" s="1"/>
      <c r="W39" s="48" t="s">
        <v>63</v>
      </c>
    </row>
    <row r="40" spans="1:23" ht="21.95" customHeight="1">
      <c r="A40" s="1"/>
      <c r="B40" s="13">
        <v>32</v>
      </c>
      <c r="C40" s="18">
        <v>160923733153</v>
      </c>
      <c r="D40" s="10"/>
      <c r="E40" s="10">
        <v>2</v>
      </c>
      <c r="F40" s="10">
        <v>0.5</v>
      </c>
      <c r="G40" s="10">
        <v>2</v>
      </c>
      <c r="H40" s="10"/>
      <c r="I40" s="10">
        <v>4</v>
      </c>
      <c r="J40" s="10"/>
      <c r="K40" s="10"/>
      <c r="L40" s="10"/>
      <c r="M40" s="9">
        <f t="shared" si="3"/>
        <v>8.5</v>
      </c>
      <c r="N40" s="1"/>
      <c r="O40" s="1"/>
      <c r="P40" s="11">
        <f>SUM(LARGE(R40:T40,{1,2}))</f>
        <v>6</v>
      </c>
      <c r="Q40" s="1"/>
      <c r="R40" s="12">
        <f t="shared" si="0"/>
        <v>2</v>
      </c>
      <c r="S40" s="12">
        <f t="shared" si="1"/>
        <v>4</v>
      </c>
      <c r="T40" s="12">
        <f t="shared" si="2"/>
        <v>0</v>
      </c>
      <c r="U40" s="1"/>
      <c r="V40" s="1"/>
      <c r="W40" s="48" t="s">
        <v>64</v>
      </c>
    </row>
    <row r="41" spans="1:23" ht="21.95" customHeight="1">
      <c r="A41" s="1"/>
      <c r="B41" s="6">
        <v>33</v>
      </c>
      <c r="C41" s="18">
        <v>160923733154</v>
      </c>
      <c r="D41" s="10">
        <v>2</v>
      </c>
      <c r="E41" s="10">
        <v>2</v>
      </c>
      <c r="F41" s="10">
        <v>0.5</v>
      </c>
      <c r="G41" s="10">
        <v>2</v>
      </c>
      <c r="H41" s="10"/>
      <c r="I41" s="10"/>
      <c r="J41" s="10"/>
      <c r="K41" s="10">
        <v>3</v>
      </c>
      <c r="L41" s="10"/>
      <c r="M41" s="9">
        <f t="shared" si="3"/>
        <v>9.5</v>
      </c>
      <c r="N41" s="1"/>
      <c r="O41" s="1"/>
      <c r="P41" s="11">
        <f>SUM(LARGE(R41:T41,{1,2}))</f>
        <v>5</v>
      </c>
      <c r="Q41" s="1"/>
      <c r="R41" s="12">
        <f t="shared" si="0"/>
        <v>2</v>
      </c>
      <c r="S41" s="12">
        <f t="shared" si="1"/>
        <v>0</v>
      </c>
      <c r="T41" s="12">
        <f t="shared" si="2"/>
        <v>3</v>
      </c>
      <c r="U41" s="1"/>
      <c r="V41" s="1"/>
      <c r="W41" s="48" t="s">
        <v>65</v>
      </c>
    </row>
    <row r="42" spans="1:23" ht="21.95" customHeight="1">
      <c r="A42" s="1"/>
      <c r="B42" s="13">
        <v>34</v>
      </c>
      <c r="C42" s="18">
        <v>160923733155</v>
      </c>
      <c r="D42" s="10"/>
      <c r="E42" s="10"/>
      <c r="F42" s="10">
        <v>1.5</v>
      </c>
      <c r="G42" s="10">
        <v>2</v>
      </c>
      <c r="H42" s="10"/>
      <c r="I42" s="10"/>
      <c r="J42" s="10"/>
      <c r="K42" s="10">
        <v>3</v>
      </c>
      <c r="L42" s="10"/>
      <c r="M42" s="9">
        <f t="shared" si="3"/>
        <v>6.5</v>
      </c>
      <c r="N42" s="1"/>
      <c r="O42" s="1"/>
      <c r="P42" s="11">
        <f>SUM(LARGE(R42:T42,{1,2}))</f>
        <v>5</v>
      </c>
      <c r="Q42" s="1"/>
      <c r="R42" s="12">
        <f t="shared" si="0"/>
        <v>2</v>
      </c>
      <c r="S42" s="12">
        <f t="shared" si="1"/>
        <v>0</v>
      </c>
      <c r="T42" s="12">
        <f t="shared" si="2"/>
        <v>3</v>
      </c>
      <c r="U42" s="1"/>
      <c r="V42" s="1"/>
      <c r="W42" s="48" t="s">
        <v>66</v>
      </c>
    </row>
    <row r="43" spans="1:23" ht="21.95" customHeight="1">
      <c r="A43" s="1"/>
      <c r="B43" s="6">
        <v>35</v>
      </c>
      <c r="C43" s="18">
        <v>160923733156</v>
      </c>
      <c r="D43" s="10"/>
      <c r="E43" s="10">
        <v>2</v>
      </c>
      <c r="F43" s="10"/>
      <c r="G43" s="10"/>
      <c r="H43" s="10"/>
      <c r="I43" s="10">
        <v>4.5</v>
      </c>
      <c r="J43" s="10"/>
      <c r="K43" s="10"/>
      <c r="L43" s="10"/>
      <c r="M43" s="9">
        <f t="shared" si="3"/>
        <v>6.5</v>
      </c>
      <c r="N43" s="1"/>
      <c r="O43" s="1"/>
      <c r="P43" s="11">
        <f>SUM(LARGE(R43:T43,{1,2}))</f>
        <v>4.5</v>
      </c>
      <c r="Q43" s="1"/>
      <c r="R43" s="12">
        <f t="shared" si="0"/>
        <v>0</v>
      </c>
      <c r="S43" s="12">
        <f t="shared" si="1"/>
        <v>4.5</v>
      </c>
      <c r="T43" s="12">
        <f t="shared" si="2"/>
        <v>0</v>
      </c>
      <c r="U43" s="1"/>
      <c r="V43" s="1"/>
      <c r="W43" s="48" t="s">
        <v>67</v>
      </c>
    </row>
    <row r="44" spans="1:23" ht="21.95" customHeight="1">
      <c r="A44" s="1"/>
      <c r="B44" s="13">
        <v>36</v>
      </c>
      <c r="C44" s="18">
        <v>160923733157</v>
      </c>
      <c r="D44" s="10"/>
      <c r="E44" s="10">
        <v>2</v>
      </c>
      <c r="F44" s="10"/>
      <c r="G44" s="10">
        <v>2</v>
      </c>
      <c r="H44" s="10"/>
      <c r="I44" s="10">
        <v>3.5</v>
      </c>
      <c r="J44" s="10"/>
      <c r="K44" s="10"/>
      <c r="L44" s="10"/>
      <c r="M44" s="9">
        <f t="shared" si="3"/>
        <v>7.5</v>
      </c>
      <c r="N44" s="1"/>
      <c r="O44" s="1"/>
      <c r="P44" s="11">
        <f>SUM(LARGE(R44:T44,{1,2}))</f>
        <v>5.5</v>
      </c>
      <c r="Q44" s="1"/>
      <c r="R44" s="12">
        <f t="shared" si="0"/>
        <v>2</v>
      </c>
      <c r="S44" s="12">
        <f t="shared" si="1"/>
        <v>3.5</v>
      </c>
      <c r="T44" s="12">
        <f t="shared" si="2"/>
        <v>0</v>
      </c>
      <c r="U44" s="1"/>
      <c r="V44" s="1"/>
      <c r="W44" s="48" t="s">
        <v>68</v>
      </c>
    </row>
    <row r="45" spans="1:23" ht="21.95" customHeight="1">
      <c r="A45" s="1"/>
      <c r="B45" s="6">
        <v>37</v>
      </c>
      <c r="C45" s="18">
        <v>160923733158</v>
      </c>
      <c r="D45" s="10" t="s">
        <v>31</v>
      </c>
      <c r="E45" s="10" t="s">
        <v>31</v>
      </c>
      <c r="F45" s="10" t="s">
        <v>31</v>
      </c>
      <c r="G45" s="10" t="s">
        <v>31</v>
      </c>
      <c r="H45" s="10" t="s">
        <v>31</v>
      </c>
      <c r="I45" s="10" t="s">
        <v>31</v>
      </c>
      <c r="J45" s="10" t="s">
        <v>31</v>
      </c>
      <c r="K45" s="10" t="s">
        <v>31</v>
      </c>
      <c r="L45" s="10" t="s">
        <v>31</v>
      </c>
      <c r="M45" s="10" t="s">
        <v>31</v>
      </c>
      <c r="N45" s="1"/>
      <c r="O45" s="1"/>
      <c r="P45" s="11">
        <f>SUM(LARGE(R45:T45,{1,2}))</f>
        <v>0</v>
      </c>
      <c r="Q45" s="1"/>
      <c r="R45" s="12">
        <f t="shared" si="0"/>
        <v>0</v>
      </c>
      <c r="S45" s="12">
        <f t="shared" si="1"/>
        <v>0</v>
      </c>
      <c r="T45" s="12">
        <f t="shared" si="2"/>
        <v>0</v>
      </c>
      <c r="U45" s="1"/>
      <c r="V45" s="1"/>
      <c r="W45" s="48" t="s">
        <v>69</v>
      </c>
    </row>
    <row r="46" spans="1:23" ht="21.95" customHeight="1">
      <c r="A46" s="1"/>
      <c r="B46" s="13">
        <v>38</v>
      </c>
      <c r="C46" s="18">
        <v>160923733159</v>
      </c>
      <c r="D46" s="10">
        <v>0</v>
      </c>
      <c r="E46" s="10"/>
      <c r="F46" s="10"/>
      <c r="G46" s="10"/>
      <c r="H46" s="10"/>
      <c r="I46" s="10"/>
      <c r="J46" s="10"/>
      <c r="K46" s="10"/>
      <c r="L46" s="10"/>
      <c r="M46" s="9">
        <f t="shared" si="3"/>
        <v>0</v>
      </c>
      <c r="N46" s="1"/>
      <c r="O46" s="1"/>
      <c r="P46" s="11">
        <f>SUM(LARGE(R46:T46,{1,2}))</f>
        <v>0</v>
      </c>
      <c r="Q46" s="1"/>
      <c r="R46" s="12">
        <f t="shared" si="0"/>
        <v>0</v>
      </c>
      <c r="S46" s="12">
        <f t="shared" si="1"/>
        <v>0</v>
      </c>
      <c r="T46" s="12">
        <f t="shared" si="2"/>
        <v>0</v>
      </c>
      <c r="U46" s="1"/>
      <c r="V46" s="1"/>
      <c r="W46" s="48" t="s">
        <v>70</v>
      </c>
    </row>
    <row r="47" spans="1:23" ht="21.95" customHeight="1">
      <c r="A47" s="1"/>
      <c r="B47" s="6">
        <v>39</v>
      </c>
      <c r="C47" s="18">
        <v>160923733160</v>
      </c>
      <c r="D47" s="10"/>
      <c r="E47" s="10">
        <v>0.5</v>
      </c>
      <c r="F47" s="10"/>
      <c r="G47" s="10"/>
      <c r="H47" s="10"/>
      <c r="I47" s="10">
        <v>3.5</v>
      </c>
      <c r="J47" s="10"/>
      <c r="K47" s="10"/>
      <c r="L47" s="10"/>
      <c r="M47" s="9">
        <f t="shared" si="3"/>
        <v>4</v>
      </c>
      <c r="N47" s="1"/>
      <c r="O47" s="1"/>
      <c r="P47" s="11">
        <f>SUM(LARGE(R47:T47,{1,2}))</f>
        <v>3.5</v>
      </c>
      <c r="Q47" s="1"/>
      <c r="R47" s="12">
        <f t="shared" si="0"/>
        <v>0</v>
      </c>
      <c r="S47" s="12">
        <f t="shared" si="1"/>
        <v>3.5</v>
      </c>
      <c r="T47" s="12">
        <f t="shared" si="2"/>
        <v>0</v>
      </c>
      <c r="U47" s="1"/>
      <c r="V47" s="1"/>
      <c r="W47" s="48" t="s">
        <v>71</v>
      </c>
    </row>
    <row r="48" spans="1:23" ht="21.95" customHeight="1">
      <c r="A48" s="1"/>
      <c r="B48" s="13">
        <v>40</v>
      </c>
      <c r="C48" s="18">
        <v>160923733161</v>
      </c>
      <c r="D48" s="10"/>
      <c r="E48" s="10">
        <v>0.5</v>
      </c>
      <c r="F48" s="10">
        <v>1</v>
      </c>
      <c r="G48" s="10">
        <v>1</v>
      </c>
      <c r="H48" s="10"/>
      <c r="I48" s="10">
        <v>4</v>
      </c>
      <c r="J48" s="10"/>
      <c r="K48" s="10"/>
      <c r="L48" s="10"/>
      <c r="M48" s="9">
        <f t="shared" si="3"/>
        <v>6.5</v>
      </c>
      <c r="N48" s="1"/>
      <c r="O48" s="1"/>
      <c r="P48" s="11">
        <f>SUM(LARGE(R48:T48,{1,2}))</f>
        <v>5</v>
      </c>
      <c r="Q48" s="1"/>
      <c r="R48" s="12">
        <f t="shared" si="0"/>
        <v>1</v>
      </c>
      <c r="S48" s="12">
        <f t="shared" si="1"/>
        <v>4</v>
      </c>
      <c r="T48" s="12">
        <f t="shared" si="2"/>
        <v>0</v>
      </c>
      <c r="U48" s="1"/>
      <c r="V48" s="1"/>
      <c r="W48" s="48" t="s">
        <v>72</v>
      </c>
    </row>
    <row r="49" spans="1:23" ht="21.95" customHeight="1">
      <c r="A49" s="1"/>
      <c r="B49" s="6">
        <v>41</v>
      </c>
      <c r="C49" s="18">
        <v>160923733162</v>
      </c>
      <c r="D49" s="10"/>
      <c r="E49" s="10">
        <v>0.5</v>
      </c>
      <c r="F49" s="10">
        <v>1</v>
      </c>
      <c r="G49" s="10">
        <v>1</v>
      </c>
      <c r="H49" s="10"/>
      <c r="I49" s="10">
        <v>5</v>
      </c>
      <c r="J49" s="10"/>
      <c r="K49" s="10"/>
      <c r="L49" s="10"/>
      <c r="M49" s="9">
        <f t="shared" si="3"/>
        <v>7.5</v>
      </c>
      <c r="N49" s="1"/>
      <c r="O49" s="1"/>
      <c r="P49" s="11">
        <f>SUM(LARGE(R49:T49,{1,2}))</f>
        <v>6</v>
      </c>
      <c r="Q49" s="1"/>
      <c r="R49" s="12">
        <f t="shared" si="0"/>
        <v>1</v>
      </c>
      <c r="S49" s="12">
        <f t="shared" si="1"/>
        <v>5</v>
      </c>
      <c r="T49" s="12">
        <f t="shared" si="2"/>
        <v>0</v>
      </c>
      <c r="U49" s="1"/>
      <c r="V49" s="1"/>
      <c r="W49" s="48" t="s">
        <v>73</v>
      </c>
    </row>
    <row r="50" spans="1:23" ht="21.95" customHeight="1">
      <c r="A50" s="1"/>
      <c r="B50" s="13">
        <v>42</v>
      </c>
      <c r="C50" s="18">
        <v>160923733163</v>
      </c>
      <c r="D50" s="10"/>
      <c r="E50" s="10">
        <v>0.5</v>
      </c>
      <c r="F50" s="10">
        <v>1</v>
      </c>
      <c r="G50" s="10">
        <v>2</v>
      </c>
      <c r="H50" s="10"/>
      <c r="I50" s="10">
        <v>4</v>
      </c>
      <c r="J50" s="10"/>
      <c r="K50" s="10"/>
      <c r="L50" s="10"/>
      <c r="M50" s="9">
        <f t="shared" si="3"/>
        <v>7.5</v>
      </c>
      <c r="N50" s="1"/>
      <c r="O50" s="1"/>
      <c r="P50" s="11">
        <f>SUM(LARGE(R50:T50,{1,2}))</f>
        <v>6</v>
      </c>
      <c r="Q50" s="1"/>
      <c r="R50" s="12">
        <f t="shared" si="0"/>
        <v>2</v>
      </c>
      <c r="S50" s="12">
        <f t="shared" si="1"/>
        <v>4</v>
      </c>
      <c r="T50" s="12">
        <f t="shared" si="2"/>
        <v>0</v>
      </c>
      <c r="U50" s="1"/>
      <c r="V50" s="1"/>
      <c r="W50" s="48" t="s">
        <v>74</v>
      </c>
    </row>
    <row r="51" spans="1:23" ht="21.95" customHeight="1">
      <c r="A51" s="1"/>
      <c r="B51" s="6">
        <v>43</v>
      </c>
      <c r="C51" s="18">
        <v>160923733164</v>
      </c>
      <c r="D51" s="10"/>
      <c r="E51" s="10"/>
      <c r="F51" s="10"/>
      <c r="G51" s="10">
        <v>2</v>
      </c>
      <c r="H51" s="10"/>
      <c r="I51" s="10">
        <v>3</v>
      </c>
      <c r="J51" s="10"/>
      <c r="K51" s="10"/>
      <c r="L51" s="10"/>
      <c r="M51" s="9">
        <f t="shared" si="3"/>
        <v>5</v>
      </c>
      <c r="N51" s="1"/>
      <c r="O51" s="1"/>
      <c r="P51" s="11">
        <f>SUM(LARGE(R51:T51,{1,2}))</f>
        <v>5</v>
      </c>
      <c r="Q51" s="1"/>
      <c r="R51" s="12">
        <f t="shared" si="0"/>
        <v>2</v>
      </c>
      <c r="S51" s="12">
        <f t="shared" si="1"/>
        <v>3</v>
      </c>
      <c r="T51" s="12">
        <f t="shared" si="2"/>
        <v>0</v>
      </c>
      <c r="U51" s="1"/>
      <c r="V51" s="1"/>
      <c r="W51" s="48" t="s">
        <v>75</v>
      </c>
    </row>
    <row r="52" spans="1:23" ht="21.95" customHeight="1">
      <c r="A52" s="1"/>
      <c r="B52" s="13">
        <v>44</v>
      </c>
      <c r="C52" s="18">
        <v>160923733165</v>
      </c>
      <c r="D52" s="10"/>
      <c r="E52" s="10"/>
      <c r="F52" s="10"/>
      <c r="G52" s="10">
        <v>3</v>
      </c>
      <c r="H52" s="10">
        <v>1</v>
      </c>
      <c r="I52" s="10">
        <v>4</v>
      </c>
      <c r="J52" s="10"/>
      <c r="K52" s="10"/>
      <c r="L52" s="10"/>
      <c r="M52" s="9">
        <f t="shared" si="3"/>
        <v>8</v>
      </c>
      <c r="N52" s="1"/>
      <c r="O52" s="1"/>
      <c r="P52" s="11">
        <f>SUM(LARGE(R52:T52,{1,2}))</f>
        <v>8</v>
      </c>
      <c r="Q52" s="1"/>
      <c r="R52" s="12">
        <f t="shared" si="0"/>
        <v>4</v>
      </c>
      <c r="S52" s="12">
        <f t="shared" si="1"/>
        <v>4</v>
      </c>
      <c r="T52" s="12">
        <f t="shared" si="2"/>
        <v>0</v>
      </c>
      <c r="U52" s="1"/>
      <c r="V52" s="1"/>
      <c r="W52" s="48" t="s">
        <v>76</v>
      </c>
    </row>
    <row r="53" spans="1:23" ht="21.95" customHeight="1">
      <c r="A53" s="1"/>
      <c r="B53" s="6">
        <v>45</v>
      </c>
      <c r="C53" s="18">
        <v>160923733166</v>
      </c>
      <c r="D53" s="10">
        <v>2</v>
      </c>
      <c r="E53" s="10">
        <v>2</v>
      </c>
      <c r="F53" s="10">
        <v>0.5</v>
      </c>
      <c r="G53" s="10"/>
      <c r="H53" s="10"/>
      <c r="I53" s="10">
        <v>5</v>
      </c>
      <c r="J53" s="10"/>
      <c r="K53" s="10">
        <v>5</v>
      </c>
      <c r="L53" s="10"/>
      <c r="M53" s="9">
        <f t="shared" si="3"/>
        <v>14.5</v>
      </c>
      <c r="N53" s="1"/>
      <c r="O53" s="1"/>
      <c r="P53" s="11">
        <f>SUM(LARGE(R53:T53,{1,2}))</f>
        <v>10</v>
      </c>
      <c r="Q53" s="1"/>
      <c r="R53" s="12">
        <f t="shared" si="0"/>
        <v>0</v>
      </c>
      <c r="S53" s="12">
        <f t="shared" si="1"/>
        <v>5</v>
      </c>
      <c r="T53" s="12">
        <f t="shared" si="2"/>
        <v>5</v>
      </c>
      <c r="U53" s="1"/>
      <c r="V53" s="1"/>
      <c r="W53" s="48" t="s">
        <v>77</v>
      </c>
    </row>
    <row r="54" spans="1:23" ht="21.95" customHeight="1">
      <c r="A54" s="1"/>
      <c r="B54" s="13">
        <v>46</v>
      </c>
      <c r="C54" s="18">
        <v>160923733167</v>
      </c>
      <c r="D54" s="10">
        <v>2</v>
      </c>
      <c r="E54" s="10">
        <v>1.5</v>
      </c>
      <c r="F54" s="10"/>
      <c r="G54" s="10"/>
      <c r="H54" s="10"/>
      <c r="I54" s="10">
        <v>5</v>
      </c>
      <c r="J54" s="10"/>
      <c r="K54" s="10"/>
      <c r="L54" s="10"/>
      <c r="M54" s="9">
        <f t="shared" si="3"/>
        <v>8.5</v>
      </c>
      <c r="N54" s="1"/>
      <c r="O54" s="1"/>
      <c r="P54" s="11">
        <f>SUM(LARGE(R54:T54,{1,2}))</f>
        <v>5</v>
      </c>
      <c r="Q54" s="1"/>
      <c r="R54" s="12">
        <f t="shared" si="0"/>
        <v>0</v>
      </c>
      <c r="S54" s="12">
        <f t="shared" si="1"/>
        <v>5</v>
      </c>
      <c r="T54" s="12">
        <f t="shared" si="2"/>
        <v>0</v>
      </c>
      <c r="U54" s="1"/>
      <c r="V54" s="1"/>
      <c r="W54" s="48" t="s">
        <v>78</v>
      </c>
    </row>
    <row r="55" spans="1:23" ht="21.95" customHeight="1">
      <c r="A55" s="1"/>
      <c r="B55" s="6">
        <v>47</v>
      </c>
      <c r="C55" s="18">
        <v>160923733168</v>
      </c>
      <c r="D55" s="10">
        <v>2</v>
      </c>
      <c r="E55" s="10">
        <v>0.5</v>
      </c>
      <c r="F55" s="10">
        <v>0.5</v>
      </c>
      <c r="G55" s="10"/>
      <c r="H55" s="10"/>
      <c r="I55" s="10">
        <v>3</v>
      </c>
      <c r="J55" s="10"/>
      <c r="K55" s="10"/>
      <c r="L55" s="10"/>
      <c r="M55" s="9">
        <f t="shared" si="3"/>
        <v>6</v>
      </c>
      <c r="N55" s="1"/>
      <c r="O55" s="1"/>
      <c r="P55" s="11">
        <f>SUM(LARGE(R55:T55,{1,2}))</f>
        <v>3</v>
      </c>
      <c r="Q55" s="1"/>
      <c r="R55" s="12">
        <f t="shared" si="0"/>
        <v>0</v>
      </c>
      <c r="S55" s="12">
        <f t="shared" si="1"/>
        <v>3</v>
      </c>
      <c r="T55" s="12">
        <f t="shared" si="2"/>
        <v>0</v>
      </c>
      <c r="U55" s="1"/>
      <c r="V55" s="1"/>
      <c r="W55" s="48" t="s">
        <v>79</v>
      </c>
    </row>
    <row r="56" spans="1:23" ht="21.95" customHeight="1">
      <c r="A56" s="1"/>
      <c r="B56" s="13">
        <v>48</v>
      </c>
      <c r="C56" s="18">
        <v>160923733169</v>
      </c>
      <c r="D56" s="10">
        <v>1.5</v>
      </c>
      <c r="E56" s="10">
        <v>1</v>
      </c>
      <c r="F56" s="10">
        <v>0.5</v>
      </c>
      <c r="G56" s="10">
        <v>2</v>
      </c>
      <c r="H56" s="10"/>
      <c r="I56" s="10">
        <v>3.5</v>
      </c>
      <c r="J56" s="10"/>
      <c r="K56" s="10"/>
      <c r="L56" s="10"/>
      <c r="M56" s="9">
        <f t="shared" si="3"/>
        <v>8.5</v>
      </c>
      <c r="N56" s="1"/>
      <c r="O56" s="1"/>
      <c r="P56" s="11"/>
      <c r="Q56" s="1"/>
      <c r="R56" s="12"/>
      <c r="S56" s="12">
        <f t="shared" si="1"/>
        <v>3.5</v>
      </c>
      <c r="T56" s="12"/>
      <c r="U56" s="1"/>
      <c r="V56" s="1"/>
      <c r="W56" s="48" t="s">
        <v>80</v>
      </c>
    </row>
    <row r="57" spans="1:23" ht="21.95" customHeight="1">
      <c r="A57" s="1"/>
      <c r="B57" s="6">
        <v>49</v>
      </c>
      <c r="C57" s="18">
        <v>160923733170</v>
      </c>
      <c r="D57" s="10"/>
      <c r="E57" s="10"/>
      <c r="F57" s="10"/>
      <c r="G57" s="10"/>
      <c r="H57" s="10"/>
      <c r="I57" s="10">
        <v>3</v>
      </c>
      <c r="J57" s="10"/>
      <c r="K57" s="10"/>
      <c r="L57" s="10"/>
      <c r="M57" s="9">
        <f t="shared" si="3"/>
        <v>3</v>
      </c>
      <c r="N57" s="1"/>
      <c r="O57" s="1"/>
      <c r="P57" s="11">
        <f>SUM(LARGE(R57:T57,{1,2}))</f>
        <v>3</v>
      </c>
      <c r="Q57" s="1"/>
      <c r="R57" s="12">
        <f t="shared" si="0"/>
        <v>0</v>
      </c>
      <c r="S57" s="12">
        <f t="shared" si="1"/>
        <v>3</v>
      </c>
      <c r="T57" s="12">
        <f t="shared" si="2"/>
        <v>0</v>
      </c>
      <c r="U57" s="1"/>
      <c r="V57" s="1"/>
      <c r="W57" s="48" t="s">
        <v>81</v>
      </c>
    </row>
    <row r="58" spans="1:23" ht="21.95" customHeight="1">
      <c r="A58" s="1"/>
      <c r="B58" s="13">
        <v>50</v>
      </c>
      <c r="C58" s="18">
        <v>160923733171</v>
      </c>
      <c r="D58" s="10">
        <v>2</v>
      </c>
      <c r="E58" s="10">
        <v>2</v>
      </c>
      <c r="F58" s="10">
        <v>1</v>
      </c>
      <c r="G58" s="10"/>
      <c r="H58" s="10"/>
      <c r="I58" s="10">
        <v>3</v>
      </c>
      <c r="J58" s="10"/>
      <c r="K58" s="10">
        <v>1</v>
      </c>
      <c r="L58" s="10"/>
      <c r="M58" s="9">
        <f t="shared" si="3"/>
        <v>9</v>
      </c>
      <c r="N58" s="1"/>
      <c r="O58" s="1"/>
      <c r="P58" s="11">
        <f>SUM(LARGE(R58:T58,{1,2}))</f>
        <v>4</v>
      </c>
      <c r="Q58" s="1"/>
      <c r="R58" s="12">
        <f t="shared" si="0"/>
        <v>0</v>
      </c>
      <c r="S58" s="12">
        <f t="shared" si="1"/>
        <v>3</v>
      </c>
      <c r="T58" s="12">
        <f t="shared" si="2"/>
        <v>1</v>
      </c>
      <c r="U58" s="1"/>
      <c r="V58" s="1"/>
      <c r="W58" s="48" t="s">
        <v>82</v>
      </c>
    </row>
    <row r="59" spans="1:23" ht="21.95" customHeight="1">
      <c r="A59" s="1"/>
      <c r="B59" s="6">
        <v>51</v>
      </c>
      <c r="C59" s="18">
        <v>160923733172</v>
      </c>
      <c r="D59" s="10"/>
      <c r="E59" s="10"/>
      <c r="F59" s="10">
        <v>0.5</v>
      </c>
      <c r="G59" s="10"/>
      <c r="H59" s="10"/>
      <c r="I59" s="10">
        <v>3</v>
      </c>
      <c r="J59" s="10"/>
      <c r="K59" s="10"/>
      <c r="L59" s="10"/>
      <c r="M59" s="9">
        <f t="shared" si="3"/>
        <v>3.5</v>
      </c>
      <c r="N59" s="1"/>
      <c r="O59" s="1"/>
      <c r="P59" s="11"/>
      <c r="Q59" s="1"/>
      <c r="R59" s="12"/>
      <c r="S59" s="12">
        <f t="shared" si="1"/>
        <v>3</v>
      </c>
      <c r="T59" s="12"/>
      <c r="U59" s="1"/>
      <c r="V59" s="1"/>
      <c r="W59" s="48" t="s">
        <v>83</v>
      </c>
    </row>
    <row r="60" spans="1:23" ht="21.95" customHeight="1">
      <c r="A60" s="1"/>
      <c r="B60" s="13">
        <v>52</v>
      </c>
      <c r="C60" s="18">
        <v>160923733173</v>
      </c>
      <c r="D60" s="10">
        <v>0</v>
      </c>
      <c r="E60" s="10"/>
      <c r="F60" s="10"/>
      <c r="G60" s="10"/>
      <c r="H60" s="10"/>
      <c r="I60" s="10"/>
      <c r="J60" s="10"/>
      <c r="K60" s="10"/>
      <c r="L60" s="10"/>
      <c r="M60" s="9">
        <f t="shared" si="3"/>
        <v>0</v>
      </c>
      <c r="N60" s="1"/>
      <c r="O60" s="1"/>
      <c r="P60" s="11"/>
      <c r="Q60" s="1"/>
      <c r="R60" s="12"/>
      <c r="S60" s="12"/>
      <c r="T60" s="12"/>
      <c r="U60" s="1"/>
      <c r="V60" s="1"/>
      <c r="W60" s="48" t="s">
        <v>84</v>
      </c>
    </row>
    <row r="61" spans="1:23" ht="21.95" customHeight="1">
      <c r="A61" s="1"/>
      <c r="B61" s="6">
        <v>53</v>
      </c>
      <c r="C61" s="18">
        <v>160923733174</v>
      </c>
      <c r="D61" s="10">
        <v>0</v>
      </c>
      <c r="E61" s="10"/>
      <c r="F61" s="10"/>
      <c r="G61" s="10"/>
      <c r="H61" s="10"/>
      <c r="I61" s="10"/>
      <c r="J61" s="10"/>
      <c r="K61" s="10"/>
      <c r="L61" s="10"/>
      <c r="M61" s="9">
        <f t="shared" si="3"/>
        <v>0</v>
      </c>
      <c r="N61" s="1"/>
      <c r="O61" s="1"/>
      <c r="P61" s="11"/>
      <c r="Q61" s="1"/>
      <c r="R61" s="12"/>
      <c r="S61" s="12"/>
      <c r="T61" s="12"/>
      <c r="U61" s="1"/>
      <c r="V61" s="1"/>
      <c r="W61" s="48" t="s">
        <v>85</v>
      </c>
    </row>
    <row r="62" spans="1:23" ht="21.95" customHeight="1">
      <c r="A62" s="1"/>
      <c r="B62" s="13">
        <v>54</v>
      </c>
      <c r="C62" s="18">
        <v>160923733175</v>
      </c>
      <c r="D62" s="10"/>
      <c r="E62" s="10">
        <v>1.5</v>
      </c>
      <c r="F62" s="10">
        <v>0.5</v>
      </c>
      <c r="G62" s="10"/>
      <c r="H62" s="10"/>
      <c r="I62" s="10"/>
      <c r="J62" s="10"/>
      <c r="K62" s="10">
        <v>6</v>
      </c>
      <c r="L62" s="10"/>
      <c r="M62" s="9">
        <f t="shared" si="3"/>
        <v>8</v>
      </c>
      <c r="N62" s="1"/>
      <c r="O62" s="1"/>
      <c r="P62" s="11"/>
      <c r="Q62" s="1"/>
      <c r="R62" s="12"/>
      <c r="S62" s="12"/>
      <c r="T62" s="12"/>
      <c r="U62" s="1"/>
      <c r="V62" s="1"/>
      <c r="W62" s="48" t="s">
        <v>73</v>
      </c>
    </row>
    <row r="63" spans="1:23" ht="21.95" customHeight="1">
      <c r="A63" s="1"/>
      <c r="B63" s="6">
        <v>55</v>
      </c>
      <c r="C63" s="18">
        <v>160923733176</v>
      </c>
      <c r="D63" s="10">
        <v>0</v>
      </c>
      <c r="E63" s="10"/>
      <c r="F63" s="10"/>
      <c r="G63" s="10"/>
      <c r="H63" s="10"/>
      <c r="I63" s="10"/>
      <c r="J63" s="10"/>
      <c r="K63" s="10"/>
      <c r="L63" s="10"/>
      <c r="M63" s="9">
        <f t="shared" si="3"/>
        <v>0</v>
      </c>
      <c r="N63" s="1"/>
      <c r="O63" s="1"/>
      <c r="P63" s="11"/>
      <c r="Q63" s="1"/>
      <c r="R63" s="12"/>
      <c r="S63" s="12"/>
      <c r="T63" s="12"/>
      <c r="U63" s="1"/>
      <c r="V63" s="1"/>
      <c r="W63" s="48" t="s">
        <v>86</v>
      </c>
    </row>
    <row r="64" spans="1:23" ht="21.95" customHeight="1">
      <c r="A64" s="1"/>
      <c r="B64" s="13">
        <v>56</v>
      </c>
      <c r="C64" s="18">
        <v>160923733178</v>
      </c>
      <c r="D64" s="10"/>
      <c r="E64" s="10">
        <v>2</v>
      </c>
      <c r="F64" s="10">
        <v>2</v>
      </c>
      <c r="G64" s="10"/>
      <c r="H64" s="10"/>
      <c r="I64" s="10">
        <v>5</v>
      </c>
      <c r="J64" s="10"/>
      <c r="K64" s="10">
        <v>3.5</v>
      </c>
      <c r="L64" s="10"/>
      <c r="M64" s="9">
        <f t="shared" si="3"/>
        <v>12.5</v>
      </c>
      <c r="N64" s="1"/>
      <c r="O64" s="1"/>
      <c r="P64" s="11"/>
      <c r="Q64" s="1"/>
      <c r="R64" s="12"/>
      <c r="S64" s="12"/>
      <c r="T64" s="12"/>
      <c r="U64" s="1"/>
      <c r="V64" s="1"/>
      <c r="W64" s="48" t="s">
        <v>87</v>
      </c>
    </row>
    <row r="65" spans="1:23" ht="21.95" customHeight="1">
      <c r="A65" s="1"/>
      <c r="B65" s="6">
        <v>57</v>
      </c>
      <c r="C65" s="18">
        <v>160923733179</v>
      </c>
      <c r="D65" s="10">
        <v>2</v>
      </c>
      <c r="E65" s="10">
        <v>1.5</v>
      </c>
      <c r="F65" s="10">
        <v>1</v>
      </c>
      <c r="G65" s="10">
        <v>1</v>
      </c>
      <c r="H65" s="10"/>
      <c r="I65" s="10"/>
      <c r="J65" s="10"/>
      <c r="K65" s="10">
        <v>1</v>
      </c>
      <c r="L65" s="10"/>
      <c r="M65" s="9">
        <f t="shared" si="3"/>
        <v>6.5</v>
      </c>
      <c r="N65" s="1"/>
      <c r="O65" s="1"/>
      <c r="P65" s="11"/>
      <c r="Q65" s="1"/>
      <c r="R65" s="12"/>
      <c r="S65" s="12"/>
      <c r="T65" s="12"/>
      <c r="U65" s="1"/>
      <c r="V65" s="1"/>
      <c r="W65" s="48" t="s">
        <v>88</v>
      </c>
    </row>
    <row r="66" spans="1:23" ht="21.95" customHeight="1">
      <c r="A66" s="1"/>
      <c r="B66" s="13">
        <v>58</v>
      </c>
      <c r="C66" s="18">
        <v>160923733180</v>
      </c>
      <c r="D66" s="10">
        <v>0</v>
      </c>
      <c r="E66" s="10"/>
      <c r="F66" s="10"/>
      <c r="G66" s="10">
        <v>2</v>
      </c>
      <c r="H66" s="10"/>
      <c r="I66" s="10">
        <v>5</v>
      </c>
      <c r="J66" s="10"/>
      <c r="K66" s="10"/>
      <c r="L66" s="10"/>
      <c r="M66" s="9">
        <f t="shared" si="3"/>
        <v>7</v>
      </c>
      <c r="N66" s="1"/>
      <c r="O66" s="1"/>
      <c r="P66" s="11"/>
      <c r="Q66" s="1"/>
      <c r="R66" s="12"/>
      <c r="S66" s="12"/>
      <c r="T66" s="12"/>
      <c r="U66" s="1"/>
      <c r="V66" s="1"/>
      <c r="W66" s="48" t="s">
        <v>89</v>
      </c>
    </row>
    <row r="67" spans="1:23" ht="21.95" customHeight="1">
      <c r="A67" s="1"/>
      <c r="B67" s="6">
        <v>59</v>
      </c>
      <c r="C67" s="18">
        <v>160923733313</v>
      </c>
      <c r="D67" s="10">
        <v>2</v>
      </c>
      <c r="E67" s="10">
        <v>2</v>
      </c>
      <c r="F67" s="10"/>
      <c r="G67" s="10">
        <v>3</v>
      </c>
      <c r="H67" s="10">
        <v>1</v>
      </c>
      <c r="I67" s="10"/>
      <c r="J67" s="10"/>
      <c r="K67" s="10">
        <v>5</v>
      </c>
      <c r="L67" s="10"/>
      <c r="M67" s="9">
        <f t="shared" si="3"/>
        <v>13</v>
      </c>
      <c r="N67" s="1"/>
      <c r="O67" s="1"/>
      <c r="P67" s="11"/>
      <c r="Q67" s="1"/>
      <c r="R67" s="12"/>
      <c r="S67" s="12"/>
      <c r="T67" s="12"/>
      <c r="U67" s="1"/>
      <c r="V67" s="1"/>
      <c r="W67" s="49" t="s">
        <v>90</v>
      </c>
    </row>
    <row r="68" spans="1:23" ht="21.95" customHeight="1">
      <c r="A68" s="1"/>
      <c r="B68" s="13">
        <v>60</v>
      </c>
      <c r="C68" s="18">
        <v>160923733314</v>
      </c>
      <c r="D68" s="10">
        <v>0.5</v>
      </c>
      <c r="E68" s="10">
        <v>2</v>
      </c>
      <c r="F68" s="10">
        <v>1</v>
      </c>
      <c r="G68" s="10"/>
      <c r="H68" s="10"/>
      <c r="I68" s="10">
        <v>1.5</v>
      </c>
      <c r="J68" s="10"/>
      <c r="K68" s="10"/>
      <c r="L68" s="10"/>
      <c r="M68" s="9">
        <f t="shared" si="3"/>
        <v>5</v>
      </c>
      <c r="N68" s="1"/>
      <c r="O68" s="1"/>
      <c r="P68" s="11"/>
      <c r="Q68" s="1"/>
      <c r="R68" s="12"/>
      <c r="S68" s="12"/>
      <c r="T68" s="12"/>
      <c r="U68" s="1"/>
      <c r="V68" s="1"/>
      <c r="W68" s="50" t="s">
        <v>91</v>
      </c>
    </row>
    <row r="69" spans="1:23" ht="21.95" customHeight="1">
      <c r="A69" s="1"/>
      <c r="B69" s="6">
        <v>61</v>
      </c>
      <c r="C69" s="18">
        <v>160923733315</v>
      </c>
      <c r="D69" s="10" t="s">
        <v>31</v>
      </c>
      <c r="E69" s="10" t="s">
        <v>31</v>
      </c>
      <c r="F69" s="10" t="s">
        <v>31</v>
      </c>
      <c r="G69" s="10" t="s">
        <v>31</v>
      </c>
      <c r="H69" s="10" t="s">
        <v>31</v>
      </c>
      <c r="I69" s="10" t="s">
        <v>31</v>
      </c>
      <c r="J69" s="10" t="s">
        <v>31</v>
      </c>
      <c r="K69" s="10" t="s">
        <v>31</v>
      </c>
      <c r="L69" s="10" t="s">
        <v>31</v>
      </c>
      <c r="M69" s="10" t="s">
        <v>31</v>
      </c>
      <c r="N69" s="1"/>
      <c r="O69" s="1"/>
      <c r="P69" s="11"/>
      <c r="Q69" s="1"/>
      <c r="R69" s="12"/>
      <c r="S69" s="12"/>
      <c r="T69" s="12"/>
      <c r="U69" s="1"/>
      <c r="V69" s="1"/>
      <c r="W69" s="49" t="s">
        <v>92</v>
      </c>
    </row>
    <row r="70" spans="1:23" ht="21.95" customHeight="1">
      <c r="A70" s="1"/>
      <c r="B70" s="13">
        <v>62</v>
      </c>
      <c r="C70" s="18">
        <v>160923733316</v>
      </c>
      <c r="D70" s="10">
        <v>2</v>
      </c>
      <c r="E70" s="10">
        <v>2</v>
      </c>
      <c r="F70" s="10">
        <v>0.5</v>
      </c>
      <c r="G70" s="10">
        <v>3</v>
      </c>
      <c r="H70" s="10"/>
      <c r="I70" s="10">
        <v>5</v>
      </c>
      <c r="J70" s="10"/>
      <c r="K70" s="10"/>
      <c r="L70" s="10"/>
      <c r="M70" s="9">
        <f t="shared" si="3"/>
        <v>12.5</v>
      </c>
      <c r="N70" s="1"/>
      <c r="O70" s="1"/>
      <c r="P70" s="11"/>
      <c r="Q70" s="1"/>
      <c r="R70" s="12"/>
      <c r="S70" s="12"/>
      <c r="T70" s="12"/>
      <c r="U70" s="1"/>
      <c r="V70" s="1"/>
      <c r="W70" s="50" t="s">
        <v>93</v>
      </c>
    </row>
    <row r="71" spans="1:23" ht="21.95" customHeight="1">
      <c r="A71" s="1"/>
      <c r="B71" s="6">
        <v>63</v>
      </c>
      <c r="C71" s="18">
        <v>160923733317</v>
      </c>
      <c r="D71" s="10">
        <v>1</v>
      </c>
      <c r="E71" s="10">
        <v>2</v>
      </c>
      <c r="F71" s="10">
        <v>0.5</v>
      </c>
      <c r="G71" s="10">
        <v>1</v>
      </c>
      <c r="H71" s="10"/>
      <c r="I71" s="10">
        <v>3</v>
      </c>
      <c r="J71" s="10"/>
      <c r="K71" s="10"/>
      <c r="L71" s="10"/>
      <c r="M71" s="9">
        <f t="shared" si="3"/>
        <v>7.5</v>
      </c>
      <c r="N71" s="1"/>
      <c r="O71" s="1"/>
      <c r="P71" s="11"/>
      <c r="Q71" s="1"/>
      <c r="R71" s="12"/>
      <c r="S71" s="12"/>
      <c r="T71" s="12"/>
      <c r="U71" s="1"/>
      <c r="V71" s="1"/>
      <c r="W71" s="49" t="s">
        <v>94</v>
      </c>
    </row>
    <row r="72" spans="1:23" ht="21.95" customHeight="1">
      <c r="A72" s="1"/>
      <c r="B72" s="13">
        <v>64</v>
      </c>
      <c r="C72" s="18">
        <v>160923733318</v>
      </c>
      <c r="D72" s="10"/>
      <c r="E72" s="10">
        <v>0.5</v>
      </c>
      <c r="F72" s="10"/>
      <c r="G72" s="10">
        <v>1</v>
      </c>
      <c r="H72" s="10">
        <v>1</v>
      </c>
      <c r="I72" s="10">
        <v>4</v>
      </c>
      <c r="J72" s="10"/>
      <c r="K72" s="10"/>
      <c r="L72" s="10"/>
      <c r="M72" s="9">
        <f t="shared" si="3"/>
        <v>6.5</v>
      </c>
      <c r="N72" s="1"/>
      <c r="O72" s="1"/>
      <c r="P72" s="11"/>
      <c r="Q72" s="1"/>
      <c r="R72" s="12"/>
      <c r="S72" s="12"/>
      <c r="T72" s="12"/>
      <c r="U72" s="1"/>
      <c r="V72" s="1"/>
      <c r="W72" s="50" t="s">
        <v>95</v>
      </c>
    </row>
    <row r="73" spans="1:23" ht="15.75" customHeight="1">
      <c r="A73" s="1"/>
      <c r="B73" s="22" t="s">
        <v>16</v>
      </c>
      <c r="C73" s="22"/>
      <c r="D73" s="23" t="s">
        <v>17</v>
      </c>
      <c r="E73" s="24"/>
      <c r="F73" s="24"/>
      <c r="G73" s="24"/>
      <c r="H73" s="24"/>
      <c r="I73" s="25"/>
      <c r="J73" s="26" t="s">
        <v>18</v>
      </c>
      <c r="K73" s="26"/>
      <c r="L73" s="26"/>
      <c r="M73" s="26"/>
      <c r="N73" s="1"/>
      <c r="O73" s="1"/>
      <c r="P73" s="11">
        <f>SUM(LARGE(R73:T73,{1,2}))</f>
        <v>0</v>
      </c>
      <c r="Q73" s="1"/>
      <c r="R73" s="12">
        <f t="shared" si="0"/>
        <v>0</v>
      </c>
      <c r="S73" s="12">
        <f t="shared" si="1"/>
        <v>0</v>
      </c>
      <c r="T73" s="12">
        <f t="shared" si="2"/>
        <v>0</v>
      </c>
      <c r="U73" s="1"/>
      <c r="V73" s="1"/>
    </row>
    <row r="74" spans="1:23" ht="30" customHeight="1">
      <c r="A74" s="1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1"/>
      <c r="O74" s="1"/>
      <c r="P74" s="11">
        <f>SUM(LARGE(R74:T74,{1,2}))</f>
        <v>0</v>
      </c>
      <c r="Q74" s="1"/>
      <c r="R74" s="12">
        <f t="shared" si="0"/>
        <v>0</v>
      </c>
      <c r="S74" s="12">
        <f t="shared" si="1"/>
        <v>0</v>
      </c>
      <c r="T74" s="12">
        <f t="shared" si="2"/>
        <v>0</v>
      </c>
      <c r="U74" s="1"/>
      <c r="V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1">
        <f>SUM(LARGE(R75:T75,{1,2}))</f>
        <v>0</v>
      </c>
      <c r="Q75" s="1"/>
      <c r="R75" s="12">
        <f t="shared" si="0"/>
        <v>0</v>
      </c>
      <c r="S75" s="12">
        <f t="shared" si="1"/>
        <v>0</v>
      </c>
      <c r="T75" s="12">
        <f t="shared" si="2"/>
        <v>0</v>
      </c>
      <c r="U75" s="1"/>
      <c r="V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1">
        <f>SUM(LARGE(R76:T76,{1,2}))</f>
        <v>0</v>
      </c>
      <c r="Q76" s="1"/>
      <c r="R76" s="12">
        <f t="shared" si="0"/>
        <v>0</v>
      </c>
      <c r="S76" s="12">
        <f t="shared" si="1"/>
        <v>0</v>
      </c>
      <c r="T76" s="12">
        <f t="shared" si="2"/>
        <v>0</v>
      </c>
      <c r="U76" s="1"/>
      <c r="V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1">
        <f>SUM(LARGE(R77:T77,{1,2}))</f>
        <v>0</v>
      </c>
      <c r="Q77" s="1"/>
      <c r="R77" s="12">
        <f t="shared" si="0"/>
        <v>0</v>
      </c>
      <c r="S77" s="12">
        <f t="shared" si="1"/>
        <v>0</v>
      </c>
      <c r="T77" s="12">
        <f t="shared" si="2"/>
        <v>0</v>
      </c>
      <c r="U77" s="1"/>
      <c r="V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1">
        <f>SUM(LARGE(R78:T78,{1,2}))</f>
        <v>0</v>
      </c>
      <c r="Q78" s="1"/>
      <c r="R78" s="12">
        <f t="shared" si="0"/>
        <v>0</v>
      </c>
      <c r="S78" s="12">
        <f t="shared" si="1"/>
        <v>0</v>
      </c>
      <c r="T78" s="12">
        <f t="shared" si="2"/>
        <v>0</v>
      </c>
      <c r="U78" s="1"/>
      <c r="V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1">
        <f>SUM(LARGE(R79:T79,{1,2}))</f>
        <v>0</v>
      </c>
      <c r="Q79" s="1"/>
      <c r="R79" s="12">
        <f t="shared" si="0"/>
        <v>0</v>
      </c>
      <c r="S79" s="12">
        <f t="shared" si="1"/>
        <v>0</v>
      </c>
      <c r="T79" s="12">
        <f t="shared" si="2"/>
        <v>0</v>
      </c>
      <c r="U79" s="1"/>
      <c r="V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1">
        <f>SUM(LARGE(R80:T80,{1,2}))</f>
        <v>0</v>
      </c>
      <c r="Q80" s="1"/>
      <c r="R80" s="12">
        <f t="shared" si="0"/>
        <v>0</v>
      </c>
      <c r="S80" s="12">
        <f t="shared" si="1"/>
        <v>0</v>
      </c>
      <c r="T80" s="12">
        <f t="shared" si="2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1">
        <f>SUM(LARGE(R81:T81,{1,2}))</f>
        <v>0</v>
      </c>
      <c r="Q81" s="1"/>
      <c r="R81" s="12">
        <f t="shared" si="0"/>
        <v>0</v>
      </c>
      <c r="S81" s="12">
        <f t="shared" si="1"/>
        <v>0</v>
      </c>
      <c r="T81" s="12">
        <f t="shared" si="2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1">
        <f>SUM(LARGE(R82:T82,{1,2}))</f>
        <v>0</v>
      </c>
      <c r="Q82" s="1"/>
      <c r="R82" s="12">
        <f t="shared" si="0"/>
        <v>0</v>
      </c>
      <c r="S82" s="12">
        <f t="shared" si="1"/>
        <v>0</v>
      </c>
      <c r="T82" s="12">
        <f t="shared" si="2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1">
        <f>SUM(LARGE(R83:T83,{1,2}))</f>
        <v>0</v>
      </c>
      <c r="Q83" s="1"/>
      <c r="R83" s="12">
        <f t="shared" si="0"/>
        <v>0</v>
      </c>
      <c r="S83" s="12">
        <f t="shared" si="1"/>
        <v>0</v>
      </c>
      <c r="T83" s="12">
        <f t="shared" si="2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1">
        <f>SUM(LARGE(R84:T84,{1,2}))</f>
        <v>0</v>
      </c>
      <c r="Q84" s="1"/>
      <c r="R84" s="12">
        <f t="shared" si="0"/>
        <v>0</v>
      </c>
      <c r="S84" s="12">
        <f t="shared" si="1"/>
        <v>0</v>
      </c>
      <c r="T84" s="12">
        <f t="shared" si="2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1">
        <f>SUM(LARGE(R85:T85,{1,2}))</f>
        <v>0</v>
      </c>
      <c r="Q85" s="1"/>
      <c r="R85" s="12">
        <f t="shared" si="0"/>
        <v>0</v>
      </c>
      <c r="S85" s="12">
        <f t="shared" si="1"/>
        <v>0</v>
      </c>
      <c r="T85" s="12">
        <f t="shared" si="2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/>
    <row r="240" spans="1:2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73:C73"/>
    <mergeCell ref="D73:I73"/>
    <mergeCell ref="J73:M73"/>
    <mergeCell ref="B74:C74"/>
    <mergeCell ref="D74:I74"/>
    <mergeCell ref="J74:M74"/>
    <mergeCell ref="B7:B8"/>
    <mergeCell ref="C7:C8"/>
    <mergeCell ref="D7:F7"/>
    <mergeCell ref="G7:H7"/>
    <mergeCell ref="I7:J7"/>
    <mergeCell ref="K7:L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TEMP</vt:lpstr>
      <vt:lpstr>PP</vt:lpstr>
      <vt:lpstr>DM</vt:lpstr>
      <vt:lpstr>DS</vt:lpstr>
      <vt:lpstr>OR</vt:lpstr>
      <vt:lpstr>DECO</vt:lpstr>
      <vt:lpstr>TEMP!Print_Titles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Exambranch</dc:creator>
  <cp:lastModifiedBy>ALEEM</cp:lastModifiedBy>
  <cp:lastPrinted>2024-10-26T07:19:34Z</cp:lastPrinted>
  <dcterms:created xsi:type="dcterms:W3CDTF">2015-06-05T18:17:20Z</dcterms:created>
  <dcterms:modified xsi:type="dcterms:W3CDTF">2026-08-05T07:19:37Z</dcterms:modified>
</cp:coreProperties>
</file>